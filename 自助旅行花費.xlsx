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薪資\"/>
    </mc:Choice>
  </mc:AlternateContent>
  <xr:revisionPtr revIDLastSave="0" documentId="13_ncr:1_{26BE26F3-7854-44FA-A750-AA6BD57AD65F}" xr6:coauthVersionLast="47" xr6:coauthVersionMax="47" xr10:uidLastSave="{00000000-0000-0000-0000-000000000000}"/>
  <bookViews>
    <workbookView xWindow="-108" yWindow="-108" windowWidth="46296" windowHeight="25416" activeTab="7" xr2:uid="{2EB10BD2-AF44-4529-9172-26CE5EF7A443}"/>
  </bookViews>
  <sheets>
    <sheet name="2023-04" sheetId="1" r:id="rId1"/>
    <sheet name="2024-05" sheetId="3" r:id="rId2"/>
    <sheet name="2024-09" sheetId="4" r:id="rId3"/>
    <sheet name="2024-10" sheetId="5" r:id="rId4"/>
    <sheet name="2025-05" sheetId="6" r:id="rId5"/>
    <sheet name="2025-06" sheetId="7" r:id="rId6"/>
    <sheet name="2025-08" sheetId="8" r:id="rId7"/>
    <sheet name="2026-03" sheetId="10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7" i="10" l="1"/>
  <c r="B147" i="10"/>
  <c r="C201" i="8"/>
  <c r="B201" i="8"/>
  <c r="H6" i="7"/>
  <c r="H5" i="7"/>
  <c r="H4" i="7"/>
  <c r="H3" i="7"/>
  <c r="H2" i="7"/>
  <c r="H2" i="5"/>
  <c r="H3" i="5"/>
  <c r="H7" i="7"/>
  <c r="C103" i="6"/>
  <c r="B103" i="6"/>
  <c r="H6" i="5"/>
  <c r="H4" i="5"/>
  <c r="H7" i="5"/>
  <c r="H5" i="5"/>
  <c r="H6" i="4"/>
  <c r="H5" i="4"/>
  <c r="H4" i="4"/>
  <c r="H3" i="4"/>
  <c r="H2" i="4"/>
  <c r="H7" i="4"/>
  <c r="H7" i="3"/>
  <c r="H3" i="3"/>
  <c r="H6" i="3"/>
  <c r="H5" i="3"/>
  <c r="H4" i="3"/>
  <c r="H2" i="3"/>
  <c r="J3" i="1"/>
  <c r="H2" i="10" l="1"/>
  <c r="H2" i="8"/>
  <c r="H2" i="6"/>
</calcChain>
</file>

<file path=xl/sharedStrings.xml><?xml version="1.0" encoding="utf-8"?>
<sst xmlns="http://schemas.openxmlformats.org/spreadsheetml/2006/main" count="1939" uniqueCount="989">
  <si>
    <t>台幣</t>
    <phoneticPr fontId="1" type="noConversion"/>
  </si>
  <si>
    <t>日幣</t>
    <phoneticPr fontId="1" type="noConversion"/>
  </si>
  <si>
    <t>項目</t>
    <phoneticPr fontId="1" type="noConversion"/>
  </si>
  <si>
    <t>吉卜力門票</t>
    <phoneticPr fontId="1" type="noConversion"/>
  </si>
  <si>
    <t>桃園-&gt;成田 飛機票</t>
    <phoneticPr fontId="1" type="noConversion"/>
  </si>
  <si>
    <t>成田-&gt;桃園 飛機票</t>
    <phoneticPr fontId="1" type="noConversion"/>
  </si>
  <si>
    <t>GUNDAM FACTORY YOKOHAMA</t>
  </si>
  <si>
    <t>NEWYORK PERFECT CHEESE</t>
  </si>
  <si>
    <t>小倉山莊</t>
  </si>
  <si>
    <t>六歌仙</t>
    <phoneticPr fontId="1" type="noConversion"/>
  </si>
  <si>
    <t>淺草 屋形船 釣新</t>
    <phoneticPr fontId="1" type="noConversion"/>
  </si>
  <si>
    <t>住宿費用</t>
    <phoneticPr fontId="1" type="noConversion"/>
  </si>
  <si>
    <t>伴手禮</t>
    <phoneticPr fontId="1" type="noConversion"/>
  </si>
  <si>
    <t>成田-&gt;新宿 成田NEX</t>
    <phoneticPr fontId="1" type="noConversion"/>
  </si>
  <si>
    <t>LAWSON 豆腐涼麵</t>
    <phoneticPr fontId="1" type="noConversion"/>
  </si>
  <si>
    <t>Asahi 檸檬風味氣泡水</t>
    <phoneticPr fontId="1" type="noConversion"/>
  </si>
  <si>
    <t>西瓜卡儲值</t>
    <phoneticPr fontId="1" type="noConversion"/>
  </si>
  <si>
    <t>鬼金棒拉麵</t>
    <phoneticPr fontId="1" type="noConversion"/>
  </si>
  <si>
    <t>耳機</t>
    <phoneticPr fontId="1" type="noConversion"/>
  </si>
  <si>
    <t>上野 燒鳥 刻鳥</t>
    <phoneticPr fontId="1" type="noConversion"/>
  </si>
  <si>
    <r>
      <t xml:space="preserve">Labs syokudo </t>
    </r>
    <r>
      <rPr>
        <sz val="12"/>
        <color rgb="FF333333"/>
        <rFont val="新細明體"/>
        <family val="2"/>
        <charset val="136"/>
      </rPr>
      <t>酒吧</t>
    </r>
    <phoneticPr fontId="1" type="noConversion"/>
  </si>
  <si>
    <t>新宿-&gt;築地 計程車</t>
    <phoneticPr fontId="1" type="noConversion"/>
  </si>
  <si>
    <t>山長玉子燒</t>
    <phoneticPr fontId="1" type="noConversion"/>
  </si>
  <si>
    <t>黑銀 壽司</t>
    <phoneticPr fontId="1" type="noConversion"/>
  </si>
  <si>
    <t>花枝</t>
    <phoneticPr fontId="1" type="noConversion"/>
  </si>
  <si>
    <t>海膽</t>
    <phoneticPr fontId="1" type="noConversion"/>
  </si>
  <si>
    <t>干貝</t>
    <phoneticPr fontId="1" type="noConversion"/>
  </si>
  <si>
    <t>鮭魚卵</t>
    <phoneticPr fontId="1" type="noConversion"/>
  </si>
  <si>
    <t>抹茶蛋糕套餐</t>
    <phoneticPr fontId="1" type="noConversion"/>
  </si>
  <si>
    <t>龍貓別針</t>
    <phoneticPr fontId="1" type="noConversion"/>
  </si>
  <si>
    <t>路邊咖啡廳 布丁+檸檬水</t>
    <phoneticPr fontId="1" type="noConversion"/>
  </si>
  <si>
    <t>體驗 FGO 機台</t>
    <phoneticPr fontId="1" type="noConversion"/>
  </si>
  <si>
    <t>川越 年輪蛋糕</t>
    <phoneticPr fontId="1" type="noConversion"/>
  </si>
  <si>
    <t>川越車站 泡芙</t>
    <phoneticPr fontId="1" type="noConversion"/>
  </si>
  <si>
    <t>川越 豆腐店</t>
    <phoneticPr fontId="1" type="noConversion"/>
  </si>
  <si>
    <t>魔女宅急便 刺繡徽章</t>
    <phoneticPr fontId="1" type="noConversion"/>
  </si>
  <si>
    <t>小川菊鰻魚飯 上蒲燒</t>
    <phoneticPr fontId="1" type="noConversion"/>
  </si>
  <si>
    <t>和果子 龍月 草莓大福+兔玉</t>
    <phoneticPr fontId="1" type="noConversion"/>
  </si>
  <si>
    <t>川越冰川神社 抽籤</t>
    <phoneticPr fontId="1" type="noConversion"/>
  </si>
  <si>
    <t>頭帶</t>
    <phoneticPr fontId="1" type="noConversion"/>
  </si>
  <si>
    <t>檸檬C 飲料</t>
    <phoneticPr fontId="1" type="noConversion"/>
  </si>
  <si>
    <t>全家 果粒飲料</t>
    <phoneticPr fontId="1" type="noConversion"/>
  </si>
  <si>
    <t>海鮮三崎港</t>
    <phoneticPr fontId="1" type="noConversion"/>
  </si>
  <si>
    <t>吻仔魚丼飯</t>
    <phoneticPr fontId="1" type="noConversion"/>
  </si>
  <si>
    <t>長壽筷</t>
    <phoneticPr fontId="1" type="noConversion"/>
  </si>
  <si>
    <t>兔子鈴鐺</t>
    <phoneticPr fontId="1" type="noConversion"/>
  </si>
  <si>
    <t>銀花堂 草莓大福</t>
    <phoneticPr fontId="1" type="noConversion"/>
  </si>
  <si>
    <t>KALDI 咖哩麵包抹醬</t>
    <phoneticPr fontId="1" type="noConversion"/>
  </si>
  <si>
    <t>淺草寺 抽籤</t>
    <phoneticPr fontId="1" type="noConversion"/>
  </si>
  <si>
    <t>淺草 炸牛排</t>
    <phoneticPr fontId="1" type="noConversion"/>
  </si>
  <si>
    <t>東照宮 參觀費用</t>
    <phoneticPr fontId="1" type="noConversion"/>
  </si>
  <si>
    <t>上野-&gt;成田 SkyLiner</t>
    <phoneticPr fontId="1" type="noConversion"/>
  </si>
  <si>
    <t>心洗庵 蕎麥麵</t>
    <phoneticPr fontId="1" type="noConversion"/>
  </si>
  <si>
    <t>心洗庵 玉子燒</t>
    <phoneticPr fontId="1" type="noConversion"/>
  </si>
  <si>
    <t>心洗庵 烤鴨胸</t>
    <phoneticPr fontId="1" type="noConversion"/>
  </si>
  <si>
    <t>心洗庵 烤雞肉</t>
    <phoneticPr fontId="1" type="noConversion"/>
  </si>
  <si>
    <t>草莓</t>
    <phoneticPr fontId="1" type="noConversion"/>
  </si>
  <si>
    <t>起司</t>
    <phoneticPr fontId="1" type="noConversion"/>
  </si>
  <si>
    <t>東京カンパネラ</t>
    <phoneticPr fontId="1" type="noConversion"/>
  </si>
  <si>
    <t>多慶屋 咖啡豆</t>
    <phoneticPr fontId="1" type="noConversion"/>
  </si>
  <si>
    <t>Melano CC 維他命C酵素深層清潔洗面乳</t>
  </si>
  <si>
    <t>Melano CC 藥用美白乳液</t>
    <phoneticPr fontId="1" type="noConversion"/>
  </si>
  <si>
    <t>興和止癢液蚊蟲叮咬驅蚊水</t>
    <phoneticPr fontId="1" type="noConversion"/>
  </si>
  <si>
    <t>合利他命 270粒</t>
    <phoneticPr fontId="1" type="noConversion"/>
  </si>
  <si>
    <t>體驗 Kancolle 機台</t>
    <phoneticPr fontId="1" type="noConversion"/>
  </si>
  <si>
    <t>匯率 1:0.226</t>
    <phoneticPr fontId="1" type="noConversion"/>
  </si>
  <si>
    <t>匯率 1:0.21</t>
    <phoneticPr fontId="1" type="noConversion"/>
  </si>
  <si>
    <t>所有花費</t>
    <phoneticPr fontId="1" type="noConversion"/>
  </si>
  <si>
    <t>第一天(5/25)</t>
    <phoneticPr fontId="1" type="noConversion"/>
  </si>
  <si>
    <t>吉池本店</t>
  </si>
  <si>
    <t>吉池本店</t>
    <phoneticPr fontId="1" type="noConversion"/>
  </si>
  <si>
    <t>備註</t>
    <phoneticPr fontId="1" type="noConversion"/>
  </si>
  <si>
    <t>四人座</t>
    <phoneticPr fontId="1" type="noConversion"/>
  </si>
  <si>
    <t>多慶屋超市</t>
  </si>
  <si>
    <t>第二天(5/26)</t>
    <phoneticPr fontId="1" type="noConversion"/>
  </si>
  <si>
    <t>皇居 伴手禮</t>
  </si>
  <si>
    <t>東京車站 拉麵</t>
  </si>
  <si>
    <t>藍瓶咖啡 咖啡豆</t>
  </si>
  <si>
    <t>藍瓶咖啡 拿鐵</t>
  </si>
  <si>
    <t>HARBS</t>
  </si>
  <si>
    <t>尚都樂客 免稅藥品</t>
  </si>
  <si>
    <t>大角玉屋</t>
  </si>
  <si>
    <t>杏 水無月</t>
    <phoneticPr fontId="1" type="noConversion"/>
  </si>
  <si>
    <t>四人份</t>
  </si>
  <si>
    <t>四人份</t>
    <phoneticPr fontId="1" type="noConversion"/>
  </si>
  <si>
    <t>新宿御苑 門票</t>
  </si>
  <si>
    <t>外帶 水果千層*2+</t>
    <phoneticPr fontId="1" type="noConversion"/>
  </si>
  <si>
    <t>Mont-bell 衣服</t>
    <phoneticPr fontId="1" type="noConversion"/>
  </si>
  <si>
    <t>隔日早餐</t>
  </si>
  <si>
    <t>隔日早餐</t>
    <phoneticPr fontId="1" type="noConversion"/>
  </si>
  <si>
    <t xml:space="preserve">Lawson </t>
  </si>
  <si>
    <t>松本清 免稅藥品</t>
    <phoneticPr fontId="1" type="noConversion"/>
  </si>
  <si>
    <t>1350*3+1150</t>
    <phoneticPr fontId="1" type="noConversion"/>
  </si>
  <si>
    <t xml:space="preserve">六厘舍沾麵 </t>
  </si>
  <si>
    <t>第三天(5/27)</t>
    <phoneticPr fontId="1" type="noConversion"/>
  </si>
  <si>
    <t>第四天(5/28)</t>
    <phoneticPr fontId="1" type="noConversion"/>
  </si>
  <si>
    <t>第五天(5/29)</t>
    <phoneticPr fontId="1" type="noConversion"/>
  </si>
  <si>
    <t>第六天(5/30)</t>
    <phoneticPr fontId="1" type="noConversion"/>
  </si>
  <si>
    <t>第七天(5/31)</t>
    <phoneticPr fontId="1" type="noConversion"/>
  </si>
  <si>
    <t>第八天(6/1)</t>
    <phoneticPr fontId="1" type="noConversion"/>
  </si>
  <si>
    <t>川越周遊券</t>
    <phoneticPr fontId="1" type="noConversion"/>
  </si>
  <si>
    <t>小川菊鰻魚飯</t>
  </si>
  <si>
    <t>鰻魚飯 特盛*3、鰻魚飯 大盛、鰻魚玉子燒</t>
    <phoneticPr fontId="1" type="noConversion"/>
  </si>
  <si>
    <t>黃金醬油團子</t>
  </si>
  <si>
    <t>龍月 和果子</t>
    <phoneticPr fontId="1" type="noConversion"/>
  </si>
  <si>
    <t>龜屋 銅鑼燒</t>
  </si>
  <si>
    <t>媽媽的衣服</t>
    <phoneticPr fontId="1" type="noConversion"/>
  </si>
  <si>
    <t>防曬外套</t>
    <phoneticPr fontId="1" type="noConversion"/>
  </si>
  <si>
    <t>Uniqlo</t>
  </si>
  <si>
    <t>香水</t>
  </si>
  <si>
    <t>海鮮三崎港</t>
  </si>
  <si>
    <t>築地虎杖 中通店 生魚丼飯</t>
  </si>
  <si>
    <t>5800*4*1.1</t>
    <phoneticPr fontId="1" type="noConversion"/>
  </si>
  <si>
    <t>草莓</t>
  </si>
  <si>
    <t>生干貝</t>
  </si>
  <si>
    <t>丸武飯糰</t>
  </si>
  <si>
    <t>明太子、溏心蛋</t>
  </si>
  <si>
    <t>山長玉子燒</t>
  </si>
  <si>
    <t>200*4 四人份</t>
    <phoneticPr fontId="1" type="noConversion"/>
  </si>
  <si>
    <t>松露玉子燒</t>
  </si>
  <si>
    <t>丸二商店</t>
  </si>
  <si>
    <t>干貝飴*2</t>
    <phoneticPr fontId="1" type="noConversion"/>
  </si>
  <si>
    <t>築地本願寺咖啡廳</t>
    <phoneticPr fontId="1" type="noConversion"/>
  </si>
  <si>
    <t>抹茶蛋糕</t>
  </si>
  <si>
    <t>MATCHA STAND</t>
  </si>
  <si>
    <t>抹茶(雙倍)、抹茶(一般)、抹茶冰淇淋*2</t>
    <phoneticPr fontId="1" type="noConversion"/>
  </si>
  <si>
    <t>Lawson</t>
  </si>
  <si>
    <t>焦糖冰淇淋</t>
  </si>
  <si>
    <t>東京鐵塔 紀念品</t>
  </si>
  <si>
    <t>磁鐵</t>
  </si>
  <si>
    <t>麻布台之丘超市</t>
  </si>
  <si>
    <t>阿夫利</t>
  </si>
  <si>
    <t>多慶屋</t>
  </si>
  <si>
    <t>旨鹽(柚七味)、山椒(一休堂)、米糠醃黃瓜</t>
    <phoneticPr fontId="1" type="noConversion"/>
  </si>
  <si>
    <t>內用 水果千層、蘋果芒果慕斯蛋糕</t>
    <phoneticPr fontId="1" type="noConversion"/>
  </si>
  <si>
    <t>柚子鹽拉麵</t>
    <phoneticPr fontId="1" type="noConversion"/>
  </si>
  <si>
    <t>零食伴手禮 免稅</t>
    <phoneticPr fontId="1" type="noConversion"/>
  </si>
  <si>
    <t>烤地瓜</t>
    <phoneticPr fontId="1" type="noConversion"/>
  </si>
  <si>
    <t>宵夜</t>
  </si>
  <si>
    <t>宵夜+早餐</t>
  </si>
  <si>
    <t>淺草寺祈願</t>
  </si>
  <si>
    <t>淺草寺抽籤</t>
  </si>
  <si>
    <t>身體健康御守</t>
  </si>
  <si>
    <t>給媽媽的</t>
    <phoneticPr fontId="1" type="noConversion"/>
  </si>
  <si>
    <t>烤鰻魚飯糰</t>
  </si>
  <si>
    <t>花月堂</t>
    <phoneticPr fontId="1" type="noConversion"/>
  </si>
  <si>
    <t>菠蘿麵包*4</t>
    <phoneticPr fontId="1" type="noConversion"/>
  </si>
  <si>
    <t>淺草 九重</t>
  </si>
  <si>
    <t>浅草きびだんご あづま</t>
  </si>
  <si>
    <t>玄品 河豚</t>
  </si>
  <si>
    <t>龜十</t>
    <phoneticPr fontId="1" type="noConversion"/>
  </si>
  <si>
    <t xml:space="preserve"> 銅鑼燒*4、最中餅*1</t>
  </si>
  <si>
    <t>炸饅頭</t>
  </si>
  <si>
    <t>吉備糰子</t>
    <phoneticPr fontId="1" type="noConversion"/>
  </si>
  <si>
    <t>6500 醍醐套餐*4</t>
    <phoneticPr fontId="1" type="noConversion"/>
  </si>
  <si>
    <t>運動飲料</t>
  </si>
  <si>
    <t>全家</t>
  </si>
  <si>
    <t>晴空塔超市</t>
  </si>
  <si>
    <t>打折壽司</t>
  </si>
  <si>
    <t>打折炸豬排</t>
  </si>
  <si>
    <t>打折飯糰（隔日午餐）</t>
  </si>
  <si>
    <t>松玄</t>
  </si>
  <si>
    <t>蕎麥麵</t>
  </si>
  <si>
    <t>1000*3+340</t>
  </si>
  <si>
    <t>西瓜卡儲值</t>
  </si>
  <si>
    <t>AEON 超商</t>
    <phoneticPr fontId="1" type="noConversion"/>
  </si>
  <si>
    <t>大猷院</t>
  </si>
  <si>
    <t>門票 四人份</t>
    <phoneticPr fontId="1" type="noConversion"/>
  </si>
  <si>
    <t>二荒山神社</t>
  </si>
  <si>
    <t>日光東照宮</t>
  </si>
  <si>
    <t>伴手禮 印籠守</t>
    <phoneticPr fontId="1" type="noConversion"/>
  </si>
  <si>
    <t>鳥貴族</t>
  </si>
  <si>
    <t>3700*4 吃到飽</t>
    <phoneticPr fontId="1" type="noConversion"/>
  </si>
  <si>
    <t>飲料+早餐</t>
  </si>
  <si>
    <t>早餐</t>
  </si>
  <si>
    <t>seven eleven</t>
    <phoneticPr fontId="1" type="noConversion"/>
  </si>
  <si>
    <t>根室花丸</t>
  </si>
  <si>
    <t>sports zyuen 體育用品店</t>
  </si>
  <si>
    <t>業務超市</t>
  </si>
  <si>
    <t>二木果子</t>
  </si>
  <si>
    <t>無印良品</t>
  </si>
  <si>
    <t>心洗庵</t>
    <phoneticPr fontId="1" type="noConversion"/>
  </si>
  <si>
    <t>LUMEN 1 新宿店</t>
    <phoneticPr fontId="1" type="noConversion"/>
  </si>
  <si>
    <t>skyliner 京城上野-&gt;成田機場</t>
    <phoneticPr fontId="1" type="noConversion"/>
  </si>
  <si>
    <t>skyliner 成田機場-&gt;京城上野</t>
    <phoneticPr fontId="1" type="noConversion"/>
  </si>
  <si>
    <t>機場免稅店</t>
  </si>
  <si>
    <t>泡麵</t>
  </si>
  <si>
    <t>乾貨零食</t>
  </si>
  <si>
    <t>衣服</t>
  </si>
  <si>
    <t>抹茶銅鑼燒</t>
  </si>
  <si>
    <t>1500+2000+1500</t>
  </si>
  <si>
    <t>伴手禮</t>
  </si>
  <si>
    <t>晴空塔超市</t>
    <phoneticPr fontId="1" type="noConversion"/>
  </si>
  <si>
    <t>晴空塔</t>
    <phoneticPr fontId="1" type="noConversion"/>
  </si>
  <si>
    <t>門票</t>
    <phoneticPr fontId="1" type="noConversion"/>
  </si>
  <si>
    <t>豪華座位</t>
    <phoneticPr fontId="1" type="noConversion"/>
  </si>
  <si>
    <t>SPACIA X 東武日光-&gt;東武淺草</t>
    <phoneticPr fontId="1" type="noConversion"/>
  </si>
  <si>
    <t>SPACIA X 東武淺草-&gt;東武日光</t>
    <phoneticPr fontId="1" type="noConversion"/>
  </si>
  <si>
    <t>日光周遊券</t>
    <phoneticPr fontId="1" type="noConversion"/>
  </si>
  <si>
    <t>東京一番街</t>
    <phoneticPr fontId="1" type="noConversion"/>
  </si>
  <si>
    <t>伴手禮 9460+2700+1642</t>
    <phoneticPr fontId="1" type="noConversion"/>
  </si>
  <si>
    <t>桃園&lt;-&gt;成田 來回飛機票</t>
    <phoneticPr fontId="1" type="noConversion"/>
  </si>
  <si>
    <t>PAUL House 住宿費用</t>
    <phoneticPr fontId="1" type="noConversion"/>
  </si>
  <si>
    <t>零錢包*4、貝殼零錢包</t>
    <phoneticPr fontId="1" type="noConversion"/>
  </si>
  <si>
    <t>鑰匙圈*2</t>
    <phoneticPr fontId="1" type="noConversion"/>
  </si>
  <si>
    <t>草莓紅豆大福*4</t>
    <phoneticPr fontId="1" type="noConversion"/>
  </si>
  <si>
    <t>500*4 四人份</t>
    <phoneticPr fontId="1" type="noConversion"/>
  </si>
  <si>
    <t>(6500+700)*4，700 生啤酒，6500 套餐</t>
    <phoneticPr fontId="1" type="noConversion"/>
  </si>
  <si>
    <t>3600*3 伴手禮</t>
    <phoneticPr fontId="1" type="noConversion"/>
  </si>
  <si>
    <t>交通</t>
    <phoneticPr fontId="1" type="noConversion"/>
  </si>
  <si>
    <t>類型</t>
    <phoneticPr fontId="1" type="noConversion"/>
  </si>
  <si>
    <t>吃</t>
    <phoneticPr fontId="1" type="noConversion"/>
  </si>
  <si>
    <t>宵夜、伴手禮</t>
    <phoneticPr fontId="1" type="noConversion"/>
  </si>
  <si>
    <t>衣服</t>
    <phoneticPr fontId="1" type="noConversion"/>
  </si>
  <si>
    <t>泡麵</t>
    <phoneticPr fontId="1" type="noConversion"/>
  </si>
  <si>
    <t>住</t>
    <phoneticPr fontId="1" type="noConversion"/>
  </si>
  <si>
    <t>第一天(09/13)</t>
    <phoneticPr fontId="1" type="noConversion"/>
  </si>
  <si>
    <t>根室花丸</t>
    <phoneticPr fontId="1" type="noConversion"/>
  </si>
  <si>
    <t>青(165)*2 + 粉(286)*10 + 綠(396)*9 + 花火(528)*2</t>
    <phoneticPr fontId="1" type="noConversion"/>
  </si>
  <si>
    <t>便利商店 - 飲料</t>
    <phoneticPr fontId="1" type="noConversion"/>
  </si>
  <si>
    <t>喝</t>
    <phoneticPr fontId="1" type="noConversion"/>
  </si>
  <si>
    <t>唐吉軻德 - 鼻毛刀</t>
    <phoneticPr fontId="1" type="noConversion"/>
  </si>
  <si>
    <t>兩支 鼻毛刀</t>
    <phoneticPr fontId="1" type="noConversion"/>
  </si>
  <si>
    <t>八張 漢字貼紙</t>
    <phoneticPr fontId="1" type="noConversion"/>
  </si>
  <si>
    <t>唐吉軻德 - 漢字姓名貼紙</t>
    <phoneticPr fontId="1" type="noConversion"/>
  </si>
  <si>
    <t>二木果子 - 丸美屋 鮭魚香鬆</t>
    <phoneticPr fontId="1" type="noConversion"/>
  </si>
  <si>
    <t>松山&lt;-&gt;羽田 來回飛機票</t>
    <phoneticPr fontId="1" type="noConversion"/>
  </si>
  <si>
    <t>APA Hotel (上野站前店 374) 住宿費用</t>
    <phoneticPr fontId="1" type="noConversion"/>
  </si>
  <si>
    <t>3包</t>
    <phoneticPr fontId="1" type="noConversion"/>
  </si>
  <si>
    <t>兩個</t>
    <phoneticPr fontId="1" type="noConversion"/>
  </si>
  <si>
    <t>二木果子 - 香菇里</t>
    <phoneticPr fontId="1" type="noConversion"/>
  </si>
  <si>
    <t>二木果子 - 竹筍山</t>
    <phoneticPr fontId="1" type="noConversion"/>
  </si>
  <si>
    <t>二木果子 - 蠟筆小新 小熊餅乾</t>
    <phoneticPr fontId="1" type="noConversion"/>
  </si>
  <si>
    <t>二木果子 - 魚乾</t>
    <phoneticPr fontId="1" type="noConversion"/>
  </si>
  <si>
    <t>2包</t>
    <phoneticPr fontId="1" type="noConversion"/>
  </si>
  <si>
    <t>2個</t>
    <phoneticPr fontId="1" type="noConversion"/>
  </si>
  <si>
    <t>大角玉屋 - 草莓紅豆大福</t>
    <phoneticPr fontId="1" type="noConversion"/>
  </si>
  <si>
    <t>第二天(09/14)</t>
    <phoneticPr fontId="1" type="noConversion"/>
  </si>
  <si>
    <t>築地 - 黑銀壽司</t>
    <phoneticPr fontId="1" type="noConversion"/>
  </si>
  <si>
    <t>築地 - 山長玉子燒</t>
    <phoneticPr fontId="1" type="noConversion"/>
  </si>
  <si>
    <t>兩份</t>
    <phoneticPr fontId="1" type="noConversion"/>
  </si>
  <si>
    <t>築地 - 丸豐飯糰</t>
    <phoneticPr fontId="1" type="noConversion"/>
  </si>
  <si>
    <t>明太子飯糰、鰹魚鬆飯糰</t>
    <phoneticPr fontId="1" type="noConversion"/>
  </si>
  <si>
    <t>LAWSON - 飲料</t>
    <phoneticPr fontId="1" type="noConversion"/>
  </si>
  <si>
    <t>LAWSON - 銅鑼燒</t>
    <phoneticPr fontId="1" type="noConversion"/>
  </si>
  <si>
    <t>上野動物園 - 門票</t>
    <phoneticPr fontId="1" type="noConversion"/>
  </si>
  <si>
    <t>大人 600 元</t>
    <phoneticPr fontId="1" type="noConversion"/>
  </si>
  <si>
    <t>上野國立科學博物館 - 門票</t>
    <phoneticPr fontId="1" type="noConversion"/>
  </si>
  <si>
    <t>大人 630 元</t>
    <phoneticPr fontId="1" type="noConversion"/>
  </si>
  <si>
    <t>套餐 6500 *2 + 啤酒風味飲料 550 + 檸檬沙瓦 600</t>
    <phoneticPr fontId="1" type="noConversion"/>
  </si>
  <si>
    <t>上野多慶屋超市 - 牛奶</t>
    <phoneticPr fontId="1" type="noConversion"/>
  </si>
  <si>
    <t>上野多慶屋超市 - 覆盆子起司</t>
    <phoneticPr fontId="1" type="noConversion"/>
  </si>
  <si>
    <t>上野多慶屋超市 - 麝香葡萄起司</t>
    <phoneticPr fontId="1" type="noConversion"/>
  </si>
  <si>
    <t>上野多慶屋超市 - 鹽麵包</t>
    <phoneticPr fontId="1" type="noConversion"/>
  </si>
  <si>
    <t>上野多慶屋超市 - 起司</t>
    <phoneticPr fontId="1" type="noConversion"/>
  </si>
  <si>
    <t>第三天(09/15)</t>
    <phoneticPr fontId="1" type="noConversion"/>
  </si>
  <si>
    <t>築地 - 咖啡</t>
    <phoneticPr fontId="1" type="noConversion"/>
  </si>
  <si>
    <t>650+550</t>
    <phoneticPr fontId="1" type="noConversion"/>
  </si>
  <si>
    <t>匯率 1:0.225</t>
    <phoneticPr fontId="1" type="noConversion"/>
  </si>
  <si>
    <t>牛たんねぎし</t>
    <phoneticPr fontId="1" type="noConversion"/>
  </si>
  <si>
    <t xml:space="preserve"> 新宿御苑 - 門票</t>
    <phoneticPr fontId="1" type="noConversion"/>
  </si>
  <si>
    <t>新宿高島屋 - 栗子饅頭</t>
    <phoneticPr fontId="1" type="noConversion"/>
  </si>
  <si>
    <t xml:space="preserve">新宿高島屋 - 小倉山莊 </t>
    <phoneticPr fontId="1" type="noConversion"/>
  </si>
  <si>
    <t>新宿高島屋 - 福砂屋 長崎蛋糕</t>
    <phoneticPr fontId="1" type="noConversion"/>
  </si>
  <si>
    <t>上野多慶屋 - 零食</t>
    <phoneticPr fontId="1" type="noConversion"/>
  </si>
  <si>
    <t>上野多慶屋超市 - 檸檬氣泡水</t>
    <phoneticPr fontId="1" type="noConversion"/>
  </si>
  <si>
    <t>上野多慶屋超市 - 百事可樂</t>
    <phoneticPr fontId="1" type="noConversion"/>
  </si>
  <si>
    <t>一個158</t>
    <phoneticPr fontId="1" type="noConversion"/>
  </si>
  <si>
    <t>新宿うな鐵 はなれ (鰻魚飯)</t>
  </si>
  <si>
    <t>第四天(09/16)</t>
    <phoneticPr fontId="1" type="noConversion"/>
  </si>
  <si>
    <t>御果子司 亀十(銅鑼燒)</t>
  </si>
  <si>
    <t>銅鑼燒 兔屋</t>
  </si>
  <si>
    <t>海洋堂 - 貓頭鷹扭蛋</t>
    <phoneticPr fontId="1" type="noConversion"/>
  </si>
  <si>
    <t>艦隊收藏 - 島風</t>
    <phoneticPr fontId="1" type="noConversion"/>
  </si>
  <si>
    <t>hololive vol.5 一番賞</t>
    <phoneticPr fontId="1" type="noConversion"/>
  </si>
  <si>
    <t>Family Mart - 飲料</t>
    <phoneticPr fontId="1" type="noConversion"/>
  </si>
  <si>
    <t>心洗庵 (蕎麥麵)</t>
  </si>
  <si>
    <t>七個；一個158</t>
    <phoneticPr fontId="1" type="noConversion"/>
  </si>
  <si>
    <t>上野多慶屋超市 - 雷霆巧克力</t>
    <phoneticPr fontId="1" type="noConversion"/>
  </si>
  <si>
    <t>上野多慶屋超市 - Pokey</t>
    <phoneticPr fontId="1" type="noConversion"/>
  </si>
  <si>
    <t>上野多慶屋超市 - 高彈力葡萄軟糖</t>
    <phoneticPr fontId="1" type="noConversion"/>
  </si>
  <si>
    <t>上野多慶屋超市 - 高彈力鳳梨軟糖</t>
    <phoneticPr fontId="1" type="noConversion"/>
  </si>
  <si>
    <t>上野多慶屋超市 - 葡萄軟糖</t>
    <phoneticPr fontId="1" type="noConversion"/>
  </si>
  <si>
    <t>上野多慶屋超市 - 麝香葡萄軟糖</t>
    <phoneticPr fontId="1" type="noConversion"/>
  </si>
  <si>
    <t>上野多慶屋超市 - 橘子軟糖</t>
    <phoneticPr fontId="1" type="noConversion"/>
  </si>
  <si>
    <t>上野多慶屋超市 - KABAYA綜合軟糖</t>
    <phoneticPr fontId="1" type="noConversion"/>
  </si>
  <si>
    <t>第五天(09/17)</t>
    <phoneticPr fontId="1" type="noConversion"/>
  </si>
  <si>
    <t>ART SPORT - 爐頭</t>
    <phoneticPr fontId="1" type="noConversion"/>
  </si>
  <si>
    <t>吉池本店 - 飯糰</t>
    <phoneticPr fontId="1" type="noConversion"/>
  </si>
  <si>
    <t>吉池本店 - 越後 鶴龜 葡萄酒酵母清酒</t>
    <phoneticPr fontId="1" type="noConversion"/>
  </si>
  <si>
    <t>吉池本店 - KAGUA BLANC 馨和白啤酒</t>
    <phoneticPr fontId="1" type="noConversion"/>
  </si>
  <si>
    <t>羽田機場 - 廣島燒</t>
    <phoneticPr fontId="1" type="noConversion"/>
  </si>
  <si>
    <t>羽田機場 - 倩碧</t>
    <phoneticPr fontId="1" type="noConversion"/>
  </si>
  <si>
    <t>眼霜*2 + 洗面乳</t>
    <phoneticPr fontId="1" type="noConversion"/>
  </si>
  <si>
    <t>西瓜卡</t>
    <phoneticPr fontId="1" type="noConversion"/>
  </si>
  <si>
    <t>10個銅鑼燒</t>
    <phoneticPr fontId="1" type="noConversion"/>
  </si>
  <si>
    <t>五個紅豆、五個白豆、一個松風(黑糖點心)、一個甜仙貝</t>
    <phoneticPr fontId="1" type="noConversion"/>
  </si>
  <si>
    <t>鰻魚飯 特上 5082；鰻魚肝 396；白燒鰻魚 440</t>
    <phoneticPr fontId="1" type="noConversion"/>
  </si>
  <si>
    <t>儒:16736；學:21216</t>
    <phoneticPr fontId="1" type="noConversion"/>
  </si>
  <si>
    <t>桃園機場&lt;-&gt;成田 來回飛機票</t>
    <phoneticPr fontId="1" type="noConversion"/>
  </si>
  <si>
    <t>儒:16771；爸:16771</t>
    <phoneticPr fontId="1" type="noConversion"/>
  </si>
  <si>
    <t>第一天(10/09)</t>
    <phoneticPr fontId="1" type="noConversion"/>
  </si>
  <si>
    <t>SkyLine+桃園機場捷運</t>
    <phoneticPr fontId="1" type="noConversion"/>
  </si>
  <si>
    <t>松屋</t>
    <phoneticPr fontId="1" type="noConversion"/>
  </si>
  <si>
    <t>Lawson-飯糰</t>
    <phoneticPr fontId="1" type="noConversion"/>
  </si>
  <si>
    <t>置物箱</t>
    <phoneticPr fontId="1" type="noConversion"/>
  </si>
  <si>
    <t>一個行李一天 700 元；總共兩個行李寄放三天。</t>
    <phoneticPr fontId="1" type="noConversion"/>
  </si>
  <si>
    <t>新宿御苑站前3號出口 東橫INN</t>
    <phoneticPr fontId="1" type="noConversion"/>
  </si>
  <si>
    <t>Hotel CLAD</t>
    <phoneticPr fontId="1" type="noConversion"/>
  </si>
  <si>
    <t>PAUL House</t>
    <phoneticPr fontId="1" type="noConversion"/>
  </si>
  <si>
    <t>第二天(10/10)</t>
    <phoneticPr fontId="1" type="noConversion"/>
  </si>
  <si>
    <t>新宿-&gt;下吉田 富士迴游列車</t>
    <phoneticPr fontId="1" type="noConversion"/>
  </si>
  <si>
    <t>扭蛋-富士山鳥居造型</t>
    <phoneticPr fontId="1" type="noConversion"/>
  </si>
  <si>
    <t>新倉富士淺間神社-神紐+神玉</t>
    <phoneticPr fontId="1" type="noConversion"/>
  </si>
  <si>
    <t>小室淺間神社-神紐+神玉</t>
    <phoneticPr fontId="1" type="noConversion"/>
  </si>
  <si>
    <t>Lawson-限定啤酒</t>
    <phoneticPr fontId="1" type="noConversion"/>
  </si>
  <si>
    <t>一瓶 725 日幣</t>
    <phoneticPr fontId="1" type="noConversion"/>
  </si>
  <si>
    <t>河口湖車站-&gt;御殿場 Outlet 高速巴士</t>
    <phoneticPr fontId="1" type="noConversion"/>
  </si>
  <si>
    <t>第三天(10/11)</t>
    <phoneticPr fontId="1" type="noConversion"/>
  </si>
  <si>
    <t>御殿場 Outlet - LACOSTE</t>
    <phoneticPr fontId="1" type="noConversion"/>
  </si>
  <si>
    <t>三件 POLO 衫</t>
    <phoneticPr fontId="1" type="noConversion"/>
  </si>
  <si>
    <t>御殿場 Outlet - Francfranc</t>
    <phoneticPr fontId="1" type="noConversion"/>
  </si>
  <si>
    <t>四件 運動T恤</t>
    <phoneticPr fontId="1" type="noConversion"/>
  </si>
  <si>
    <t>御殿場 Outlet - UNDER ARMOUR</t>
    <phoneticPr fontId="1" type="noConversion"/>
  </si>
  <si>
    <t>御殿場 Outlet - Abercrombie &amp; Fitch</t>
    <phoneticPr fontId="1" type="noConversion"/>
  </si>
  <si>
    <t>御殿場 Outlet -&gt; 新宿巴士總站</t>
    <phoneticPr fontId="1" type="noConversion"/>
  </si>
  <si>
    <t>一人 1800日幣</t>
    <phoneticPr fontId="1" type="noConversion"/>
  </si>
  <si>
    <t>一人 2000日幣</t>
    <phoneticPr fontId="1" type="noConversion"/>
  </si>
  <si>
    <t>三瓶 水溶性精油</t>
    <phoneticPr fontId="1" type="noConversion"/>
  </si>
  <si>
    <t>鴨 to 蔥</t>
    <phoneticPr fontId="1" type="noConversion"/>
  </si>
  <si>
    <t>一人 1280日幣</t>
    <phoneticPr fontId="1" type="noConversion"/>
  </si>
  <si>
    <t>上野超市 - 消夜</t>
    <phoneticPr fontId="1" type="noConversion"/>
  </si>
  <si>
    <t>立鮨 壽司</t>
    <phoneticPr fontId="1" type="noConversion"/>
  </si>
  <si>
    <t>一人 1580日幣，十貫</t>
    <phoneticPr fontId="1" type="noConversion"/>
  </si>
  <si>
    <t>吉池本店 - 透抽+魚</t>
    <phoneticPr fontId="1" type="noConversion"/>
  </si>
  <si>
    <t>上野超市 - 味增泡麵</t>
    <phoneticPr fontId="1" type="noConversion"/>
  </si>
  <si>
    <t>Ado 演唱會</t>
    <phoneticPr fontId="1" type="noConversion"/>
  </si>
  <si>
    <t>鎌倉大佛 - 門票</t>
    <phoneticPr fontId="1" type="noConversion"/>
  </si>
  <si>
    <t>一人 300日幣</t>
    <phoneticPr fontId="1" type="noConversion"/>
  </si>
  <si>
    <t>ともや（Tomoya）大佛燒</t>
    <phoneticPr fontId="1" type="noConversion"/>
  </si>
  <si>
    <t>一個 220 日幣</t>
    <phoneticPr fontId="1" type="noConversion"/>
  </si>
  <si>
    <t>章魚天婦羅</t>
    <phoneticPr fontId="1" type="noConversion"/>
  </si>
  <si>
    <t>一個 400 日幣</t>
    <phoneticPr fontId="1" type="noConversion"/>
  </si>
  <si>
    <t>WATATSUMI - 吻仔魚生魚丼飯</t>
    <phoneticPr fontId="1" type="noConversion"/>
  </si>
  <si>
    <t>二木果子</t>
    <phoneticPr fontId="1" type="noConversion"/>
  </si>
  <si>
    <t>鳥貴族</t>
    <phoneticPr fontId="1" type="noConversion"/>
  </si>
  <si>
    <t>Lawson-銅鑼燒</t>
    <phoneticPr fontId="1" type="noConversion"/>
  </si>
  <si>
    <t>一個 200 日圓</t>
    <phoneticPr fontId="1" type="noConversion"/>
  </si>
  <si>
    <t>第四天(10/12)</t>
    <phoneticPr fontId="1" type="noConversion"/>
  </si>
  <si>
    <t>第五天(10/13)</t>
    <phoneticPr fontId="1" type="noConversion"/>
  </si>
  <si>
    <t>第六天(10/14)</t>
    <phoneticPr fontId="1" type="noConversion"/>
  </si>
  <si>
    <t>兔屋 - 銅鑼燒</t>
    <phoneticPr fontId="1" type="noConversion"/>
  </si>
  <si>
    <t>一個 240 日幣</t>
    <phoneticPr fontId="1" type="noConversion"/>
  </si>
  <si>
    <t>一個 160 日幣</t>
    <phoneticPr fontId="1" type="noConversion"/>
  </si>
  <si>
    <t>一個 120 日幣</t>
    <phoneticPr fontId="1" type="noConversion"/>
  </si>
  <si>
    <t>兔屋 - 茶通</t>
    <phoneticPr fontId="1" type="noConversion"/>
  </si>
  <si>
    <t>兔屋 - 喜作最中</t>
    <phoneticPr fontId="1" type="noConversion"/>
  </si>
  <si>
    <t>吉池本店 - 玉子燒</t>
    <phoneticPr fontId="1" type="noConversion"/>
  </si>
  <si>
    <t>UNIQLO - 薄長袖</t>
    <phoneticPr fontId="1" type="noConversion"/>
  </si>
  <si>
    <t>UNIQLO - 厚長袖</t>
    <phoneticPr fontId="1" type="noConversion"/>
  </si>
  <si>
    <t>一件 1290(含稅)</t>
    <phoneticPr fontId="1" type="noConversion"/>
  </si>
  <si>
    <t>一件 1990(含稅)</t>
    <phoneticPr fontId="1" type="noConversion"/>
  </si>
  <si>
    <t>藥妝店</t>
    <phoneticPr fontId="1" type="noConversion"/>
  </si>
  <si>
    <t>機場免稅店 - 起司薄餅乾</t>
    <phoneticPr fontId="1" type="noConversion"/>
  </si>
  <si>
    <t>機場免稅店 - 倩碧 隔離霜</t>
    <phoneticPr fontId="1" type="noConversion"/>
  </si>
  <si>
    <t>一條 4800 日幣</t>
    <phoneticPr fontId="1" type="noConversion"/>
  </si>
  <si>
    <t>匯率 1:0.222</t>
    <phoneticPr fontId="1" type="noConversion"/>
  </si>
  <si>
    <t>Ado 演唱會 - T恤、徽章、吊飾</t>
    <phoneticPr fontId="1" type="noConversion"/>
  </si>
  <si>
    <t>T恤 5000 日圓；徽章 500 日圓；吊飾 800 日圓</t>
    <phoneticPr fontId="1" type="noConversion"/>
  </si>
  <si>
    <t>米其林三星Quintessence - 起司蛋糕</t>
    <phoneticPr fontId="1" type="noConversion"/>
  </si>
  <si>
    <t>桃園機場&lt;-&gt;關西 來回飛機票</t>
    <phoneticPr fontId="1" type="noConversion"/>
  </si>
  <si>
    <t>世界博覽會 2025 門票</t>
    <phoneticPr fontId="1" type="noConversion"/>
  </si>
  <si>
    <t>桃園機場&lt;-&gt;樟宜機場 來回飛機票</t>
    <phoneticPr fontId="1" type="noConversion"/>
  </si>
  <si>
    <t>第一天(05/17)</t>
    <phoneticPr fontId="1" type="noConversion"/>
  </si>
  <si>
    <t>第二天(05/18)</t>
    <phoneticPr fontId="1" type="noConversion"/>
  </si>
  <si>
    <t>第三天(05/19)</t>
    <phoneticPr fontId="1" type="noConversion"/>
  </si>
  <si>
    <t>第四天(05/20)</t>
    <phoneticPr fontId="1" type="noConversion"/>
  </si>
  <si>
    <t>第五天(05/21)</t>
    <phoneticPr fontId="1" type="noConversion"/>
  </si>
  <si>
    <t>第六天(05/22)</t>
    <phoneticPr fontId="1" type="noConversion"/>
  </si>
  <si>
    <t>第七天(05/23)</t>
    <phoneticPr fontId="1" type="noConversion"/>
  </si>
  <si>
    <t>第八天(05/24)</t>
    <phoneticPr fontId="1" type="noConversion"/>
  </si>
  <si>
    <t>新加坡幣</t>
    <phoneticPr fontId="1" type="noConversion"/>
  </si>
  <si>
    <t>Lady GaGa 演唱會</t>
    <phoneticPr fontId="1" type="noConversion"/>
  </si>
  <si>
    <t>第一天(06/07)</t>
    <phoneticPr fontId="1" type="noConversion"/>
  </si>
  <si>
    <t>第二天(06/08)</t>
    <phoneticPr fontId="1" type="noConversion"/>
  </si>
  <si>
    <t>第三天(06/09)</t>
    <phoneticPr fontId="1" type="noConversion"/>
  </si>
  <si>
    <t>第四天(06/10)</t>
    <phoneticPr fontId="1" type="noConversion"/>
  </si>
  <si>
    <t>第五天(06/11)</t>
    <phoneticPr fontId="1" type="noConversion"/>
  </si>
  <si>
    <t>第六天(06/12)</t>
    <phoneticPr fontId="1" type="noConversion"/>
  </si>
  <si>
    <t>第七天(06/13)</t>
    <phoneticPr fontId="1" type="noConversion"/>
  </si>
  <si>
    <t>第八天(06/14)</t>
    <phoneticPr fontId="1" type="noConversion"/>
  </si>
  <si>
    <t>網卡(8天總量10G)</t>
    <phoneticPr fontId="1" type="noConversion"/>
  </si>
  <si>
    <t> 大阪住宿 APA Hotel &amp; Resort Osaka Namba Ekimae Tower</t>
    <phoneticPr fontId="1" type="noConversion"/>
  </si>
  <si>
    <r>
      <rPr>
        <sz val="12"/>
        <color rgb="FF222222"/>
        <rFont val="新細明體"/>
        <family val="1"/>
      </rPr>
      <t>京都住宿 Hotel IL Verde Kyoto 京都伊爾威爾帝酒店</t>
    </r>
    <phoneticPr fontId="1" type="noConversion"/>
  </si>
  <si>
    <t>第一天(04/20)</t>
    <phoneticPr fontId="1" type="noConversion"/>
  </si>
  <si>
    <t>第二天(04/21)</t>
    <phoneticPr fontId="1" type="noConversion"/>
  </si>
  <si>
    <t>第三天(04/22)</t>
    <phoneticPr fontId="1" type="noConversion"/>
  </si>
  <si>
    <t>第四天(04/23)</t>
    <phoneticPr fontId="1" type="noConversion"/>
  </si>
  <si>
    <t>第五天(04/24)</t>
    <phoneticPr fontId="1" type="noConversion"/>
  </si>
  <si>
    <t>動物園門票</t>
    <phoneticPr fontId="1" type="noConversion"/>
  </si>
  <si>
    <t>交通</t>
  </si>
  <si>
    <t>計程車</t>
  </si>
  <si>
    <t>食</t>
  </si>
  <si>
    <t>捷運</t>
  </si>
  <si>
    <t>調酒</t>
  </si>
  <si>
    <t>Jigger &amp; Pony</t>
  </si>
  <si>
    <t>麥當勞</t>
  </si>
  <si>
    <t>伴手禮 - Fair Price</t>
  </si>
  <si>
    <t>肉骨茶 + 白飯</t>
  </si>
  <si>
    <t>伴手禮 - 鹹蛋魚皮*9 、 限定口味杯麵*3</t>
  </si>
  <si>
    <t>家 - 機場</t>
  </si>
  <si>
    <t>伴手禮 - 磁鐵</t>
  </si>
  <si>
    <t>中峇魯旁邊的食閣</t>
    <phoneticPr fontId="1" type="noConversion"/>
  </si>
  <si>
    <t>機場 - 任家</t>
    <phoneticPr fontId="1" type="noConversion"/>
  </si>
  <si>
    <t>計程車</t>
    <phoneticPr fontId="1" type="noConversion"/>
  </si>
  <si>
    <t>午餐 - 義大利麵</t>
    <phoneticPr fontId="1" type="noConversion"/>
  </si>
  <si>
    <t>Lucca's trattoria italian restaurant</t>
    <phoneticPr fontId="1" type="noConversion"/>
  </si>
  <si>
    <t>食</t>
    <phoneticPr fontId="1" type="noConversion"/>
  </si>
  <si>
    <t>合樂 - 濱海灣花園</t>
    <phoneticPr fontId="1" type="noConversion"/>
  </si>
  <si>
    <t>捷運</t>
    <phoneticPr fontId="1" type="noConversion"/>
  </si>
  <si>
    <t>花穹+雲霧林 門票</t>
    <phoneticPr fontId="1" type="noConversion"/>
  </si>
  <si>
    <t>濱海灣花園 - 巴蜀演藝</t>
    <phoneticPr fontId="1" type="noConversion"/>
  </si>
  <si>
    <t>晚餐 - 巴蜀演藝</t>
    <phoneticPr fontId="1" type="noConversion"/>
  </si>
  <si>
    <t>巴蜀演藝</t>
    <phoneticPr fontId="1" type="noConversion"/>
  </si>
  <si>
    <t>多美歌 - 中峇魯</t>
    <phoneticPr fontId="1" type="noConversion"/>
  </si>
  <si>
    <t>早餐 - 中峇魯可頌</t>
    <phoneticPr fontId="1" type="noConversion"/>
  </si>
  <si>
    <t>中峇魯可頌</t>
    <phoneticPr fontId="1" type="noConversion"/>
  </si>
  <si>
    <t>合樂 - 濱海灣</t>
    <phoneticPr fontId="1" type="noConversion"/>
  </si>
  <si>
    <t>新加坡 紅點博物館</t>
    <phoneticPr fontId="1" type="noConversion"/>
  </si>
  <si>
    <t>紅點博物館 - 國成菜館</t>
    <phoneticPr fontId="1" type="noConversion"/>
  </si>
  <si>
    <t>午餐 - 國成菜館</t>
    <phoneticPr fontId="1" type="noConversion"/>
  </si>
  <si>
    <t>國成菜館</t>
    <phoneticPr fontId="1" type="noConversion"/>
  </si>
  <si>
    <t>歐南園 - 小印度</t>
    <phoneticPr fontId="1" type="noConversion"/>
  </si>
  <si>
    <t>阿拉伯區 - 義大利麵</t>
    <phoneticPr fontId="1" type="noConversion"/>
  </si>
  <si>
    <t>晚餐 - 義大利麵</t>
    <phoneticPr fontId="1" type="noConversion"/>
  </si>
  <si>
    <t>消夜 - 團緣肉骨茶</t>
    <phoneticPr fontId="1" type="noConversion"/>
  </si>
  <si>
    <t>團緣肉骨茶</t>
    <phoneticPr fontId="1" type="noConversion"/>
  </si>
  <si>
    <t>任家 - Jigger &amp; Pony</t>
    <phoneticPr fontId="1" type="noConversion"/>
  </si>
  <si>
    <t>調酒</t>
    <phoneticPr fontId="1" type="noConversion"/>
  </si>
  <si>
    <t>Cat Bite Club</t>
    <phoneticPr fontId="1" type="noConversion"/>
  </si>
  <si>
    <t>Cat Bite Club - 中峇魯飯店</t>
    <phoneticPr fontId="1" type="noConversion"/>
  </si>
  <si>
    <t>早餐 - 亞坤 咖椰土司</t>
    <phoneticPr fontId="1" type="noConversion"/>
  </si>
  <si>
    <t>亞坤</t>
    <phoneticPr fontId="1" type="noConversion"/>
  </si>
  <si>
    <t>中峇魯 - 萊佛士坊</t>
    <phoneticPr fontId="1" type="noConversion"/>
  </si>
  <si>
    <t>濱海灣 - 合樂</t>
    <phoneticPr fontId="1" type="noConversion"/>
  </si>
  <si>
    <t>合樂 - 納比亞</t>
    <phoneticPr fontId="1" type="noConversion"/>
  </si>
  <si>
    <t>新加坡植物園 蘭花園 門票</t>
    <phoneticPr fontId="1" type="noConversion"/>
  </si>
  <si>
    <t>新加坡植物園 - 東北人家</t>
    <phoneticPr fontId="1" type="noConversion"/>
  </si>
  <si>
    <t>下午茶 - 蘆薈愛玉酸柑蜜</t>
    <phoneticPr fontId="1" type="noConversion"/>
  </si>
  <si>
    <t>Gong He Guan</t>
    <phoneticPr fontId="1" type="noConversion"/>
  </si>
  <si>
    <t>晚餐 - 東北人家</t>
    <phoneticPr fontId="1" type="noConversion"/>
  </si>
  <si>
    <t>東北人家</t>
    <phoneticPr fontId="1" type="noConversion"/>
  </si>
  <si>
    <t>牛車水 - 體育館</t>
    <phoneticPr fontId="1" type="noConversion"/>
  </si>
  <si>
    <t>體育館 - Jigger &amp; Pony</t>
    <phoneticPr fontId="1" type="noConversion"/>
  </si>
  <si>
    <t>Jigger &amp; Pony</t>
    <phoneticPr fontId="1" type="noConversion"/>
  </si>
  <si>
    <t>Jigger &amp; Pony - 中峇魯飯店</t>
    <phoneticPr fontId="1" type="noConversion"/>
  </si>
  <si>
    <t>早餐 - merci marcel</t>
    <phoneticPr fontId="1" type="noConversion"/>
  </si>
  <si>
    <t>merci marcel</t>
    <phoneticPr fontId="1" type="noConversion"/>
  </si>
  <si>
    <t>合樂 - 海灣坊</t>
    <phoneticPr fontId="1" type="noConversion"/>
  </si>
  <si>
    <t>金沙酒店 - City Hall</t>
    <phoneticPr fontId="1" type="noConversion"/>
  </si>
  <si>
    <t>公車</t>
    <phoneticPr fontId="1" type="noConversion"/>
  </si>
  <si>
    <t>新加坡國家博物館</t>
    <phoneticPr fontId="1" type="noConversion"/>
  </si>
  <si>
    <t>下午茶 - Smooy 冰淇淋</t>
    <phoneticPr fontId="1" type="noConversion"/>
  </si>
  <si>
    <t>Smooy</t>
    <phoneticPr fontId="1" type="noConversion"/>
  </si>
  <si>
    <t>下午茶 - 鹹魚豆芽青龍菜</t>
    <phoneticPr fontId="1" type="noConversion"/>
  </si>
  <si>
    <t>西門街</t>
    <phoneticPr fontId="1" type="noConversion"/>
  </si>
  <si>
    <t>酒吧 - Nutmeg &amp; Clove</t>
    <phoneticPr fontId="1" type="noConversion"/>
  </si>
  <si>
    <t>City hall - 中峇魯</t>
    <phoneticPr fontId="1" type="noConversion"/>
  </si>
  <si>
    <t>晚餐 - 佳旺</t>
    <phoneticPr fontId="1" type="noConversion"/>
  </si>
  <si>
    <t>佳旺</t>
    <phoneticPr fontId="1" type="noConversion"/>
  </si>
  <si>
    <t>中峇魯 - Tanjong Pagar</t>
    <phoneticPr fontId="1" type="noConversion"/>
  </si>
  <si>
    <t>早午餐 - 天天海南雞</t>
    <phoneticPr fontId="1" type="noConversion"/>
  </si>
  <si>
    <t>天天海南雞</t>
    <phoneticPr fontId="1" type="noConversion"/>
  </si>
  <si>
    <t>Maxwell - 烏節</t>
    <phoneticPr fontId="1" type="noConversion"/>
  </si>
  <si>
    <t>烏節 - City Hall</t>
    <phoneticPr fontId="1" type="noConversion"/>
  </si>
  <si>
    <t>牛車水 - 中峇魯</t>
    <phoneticPr fontId="1" type="noConversion"/>
  </si>
  <si>
    <t>中峇魯 - 體育館</t>
    <phoneticPr fontId="1" type="noConversion"/>
  </si>
  <si>
    <t>紀念品 - Ado 長袖T恤</t>
    <phoneticPr fontId="1" type="noConversion"/>
  </si>
  <si>
    <t>Jigger &amp; Pony - 任家</t>
    <phoneticPr fontId="1" type="noConversion"/>
  </si>
  <si>
    <t>早午晚餐 - 南家 大包*2、叉燒包</t>
    <phoneticPr fontId="1" type="noConversion"/>
  </si>
  <si>
    <t>南家</t>
    <phoneticPr fontId="1" type="noConversion"/>
  </si>
  <si>
    <t>中峇魯 - 飛禽世界</t>
    <phoneticPr fontId="1" type="noConversion"/>
  </si>
  <si>
    <t>捷運+公車</t>
    <phoneticPr fontId="1" type="noConversion"/>
  </si>
  <si>
    <t>飛禽世界 - 新家坡動物園</t>
    <phoneticPr fontId="1" type="noConversion"/>
  </si>
  <si>
    <t>消夜 - 麥當勞</t>
    <phoneticPr fontId="1" type="noConversion"/>
  </si>
  <si>
    <t>麥當勞</t>
    <phoneticPr fontId="1" type="noConversion"/>
  </si>
  <si>
    <t>中峇魯 - RedHill</t>
    <phoneticPr fontId="1" type="noConversion"/>
  </si>
  <si>
    <t>早午餐 - 五十年潮州魚丸肉脞面</t>
    <phoneticPr fontId="1" type="noConversion"/>
  </si>
  <si>
    <t>紅山市場</t>
    <phoneticPr fontId="1" type="noConversion"/>
  </si>
  <si>
    <t>飲料 - 新加坡咖啡</t>
    <phoneticPr fontId="1" type="noConversion"/>
  </si>
  <si>
    <t>RedHill - Buona Vista</t>
    <phoneticPr fontId="1" type="noConversion"/>
  </si>
  <si>
    <t>李光前自然歷史博物館</t>
    <phoneticPr fontId="1" type="noConversion"/>
  </si>
  <si>
    <t>李光前自然歷史博物館 - 烏節 Fair Price</t>
    <phoneticPr fontId="1" type="noConversion"/>
  </si>
  <si>
    <t>下午茶 - 麥當勞冰炫風</t>
    <phoneticPr fontId="1" type="noConversion"/>
  </si>
  <si>
    <t>伴手禮 - 高島屋 番茄醬</t>
    <phoneticPr fontId="1" type="noConversion"/>
  </si>
  <si>
    <t>伴手禮 - 小CK</t>
    <phoneticPr fontId="1" type="noConversion"/>
  </si>
  <si>
    <t>烏節 - 合樂</t>
    <phoneticPr fontId="1" type="noConversion"/>
  </si>
  <si>
    <t>餐廳 - 任家 - Jigger &amp; Pony</t>
    <phoneticPr fontId="1" type="noConversion"/>
  </si>
  <si>
    <t>Total</t>
    <phoneticPr fontId="1" type="noConversion"/>
  </si>
  <si>
    <t>匯率 23.34:1</t>
    <phoneticPr fontId="1" type="noConversion"/>
  </si>
  <si>
    <t>亞王咖哩雞米粉麵</t>
    <phoneticPr fontId="1" type="noConversion"/>
  </si>
  <si>
    <t>招牌基記特製麵</t>
    <phoneticPr fontId="1" type="noConversion"/>
  </si>
  <si>
    <t xml:space="preserve">基記麵家 </t>
  </si>
  <si>
    <t>新家坡動物園 - 中峇魯</t>
    <phoneticPr fontId="1" type="noConversion"/>
  </si>
  <si>
    <t>酒條通 - 格蘭路思 18年 時淬之藝 單一麥芽威士忌</t>
    <phoneticPr fontId="1" type="noConversion"/>
  </si>
  <si>
    <t>免稅店 - 大摩 13 年</t>
    <phoneticPr fontId="1" type="noConversion"/>
  </si>
  <si>
    <t>匯率 1:0.22</t>
    <phoneticPr fontId="1" type="noConversion"/>
  </si>
  <si>
    <t xml:space="preserve"> JR Haruka 車票 關西機場 - 京都車站</t>
    <phoneticPr fontId="1" type="noConversion"/>
  </si>
  <si>
    <t>樂沐麵包 - 黑松露奶油捲、杏仁可頌</t>
    <phoneticPr fontId="1" type="noConversion"/>
  </si>
  <si>
    <t>金色三麥 琥珀啤酒</t>
    <phoneticPr fontId="1" type="noConversion"/>
  </si>
  <si>
    <t>炸串</t>
    <phoneticPr fontId="1" type="noConversion"/>
  </si>
  <si>
    <t>炸章魚</t>
    <phoneticPr fontId="1" type="noConversion"/>
  </si>
  <si>
    <t>Sapporo larger beer</t>
    <phoneticPr fontId="1" type="noConversion"/>
  </si>
  <si>
    <t>Lamination high ball</t>
    <phoneticPr fontId="1" type="noConversion"/>
  </si>
  <si>
    <t>Lawson 鮭魚飯糰</t>
    <phoneticPr fontId="1" type="noConversion"/>
  </si>
  <si>
    <t>平等院鳳凰堂 門票</t>
    <phoneticPr fontId="1" type="noConversion"/>
  </si>
  <si>
    <t>鳳凰堂 入內參觀 門票</t>
    <phoneticPr fontId="1" type="noConversion"/>
  </si>
  <si>
    <t>增田茶鋪 抹茶拿鐵</t>
    <phoneticPr fontId="1" type="noConversion"/>
  </si>
  <si>
    <t>迴轉壽司 函館壽司</t>
    <phoneticPr fontId="1" type="noConversion"/>
  </si>
  <si>
    <t>源氏物語博物館 門票</t>
    <phoneticPr fontId="1" type="noConversion"/>
  </si>
  <si>
    <t>扭蛋 - 電車鈴</t>
    <phoneticPr fontId="1" type="noConversion"/>
  </si>
  <si>
    <t>鳥せい(Torisei) 燒鳥</t>
    <phoneticPr fontId="1" type="noConversion"/>
  </si>
  <si>
    <t>京都伏水酒藏小路</t>
  </si>
  <si>
    <t>京都伏水酒藏小路</t>
    <phoneticPr fontId="1" type="noConversion"/>
  </si>
  <si>
    <t>便利商店 飯糰+綠茶</t>
    <phoneticPr fontId="1" type="noConversion"/>
  </si>
  <si>
    <t>公車</t>
  </si>
  <si>
    <t>Lawson 便當</t>
    <phoneticPr fontId="1" type="noConversion"/>
  </si>
  <si>
    <t>捷運 宇治(京阪) - 中書島</t>
    <phoneticPr fontId="1" type="noConversion"/>
  </si>
  <si>
    <t>公車 飯店 - 清水坂</t>
    <phoneticPr fontId="1" type="noConversion"/>
  </si>
  <si>
    <t>清水寺 門票</t>
    <phoneticPr fontId="1" type="noConversion"/>
  </si>
  <si>
    <t>公車 清水坂 - 飯店</t>
    <phoneticPr fontId="1" type="noConversion"/>
  </si>
  <si>
    <t>捷運 京都 - 小倉</t>
    <phoneticPr fontId="1" type="noConversion"/>
  </si>
  <si>
    <t>任天堂博物館</t>
  </si>
  <si>
    <t>任天堂博物館 花牌製作</t>
    <phoneticPr fontId="1" type="noConversion"/>
  </si>
  <si>
    <t>任天堂博物館 磁鐵</t>
    <phoneticPr fontId="1" type="noConversion"/>
  </si>
  <si>
    <t>任天堂博物館 漢堡套餐</t>
    <phoneticPr fontId="1" type="noConversion"/>
  </si>
  <si>
    <t xml:space="preserve">捷運 小倉 - 京都 </t>
    <phoneticPr fontId="1" type="noConversion"/>
  </si>
  <si>
    <t>捷運 七條 - 祇園四條</t>
    <phoneticPr fontId="1" type="noConversion"/>
  </si>
  <si>
    <t>麵屋 優光 河源町 - 超級特別拉麵</t>
    <phoneticPr fontId="1" type="noConversion"/>
  </si>
  <si>
    <t>Montbell 衣服+包包(京都限定*2 7200、翠鳥 3300、小包包 3300)</t>
    <phoneticPr fontId="1" type="noConversion"/>
  </si>
  <si>
    <t>公車 河源町 - 飯店</t>
    <phoneticPr fontId="1" type="noConversion"/>
  </si>
  <si>
    <t>任天堂博物館 遊戲機吊飾</t>
    <phoneticPr fontId="1" type="noConversion"/>
  </si>
  <si>
    <t>捷運 伏見桃山 - 七條</t>
    <phoneticPr fontId="1" type="noConversion"/>
  </si>
  <si>
    <t>捷運 京都站 - 宇治站</t>
    <phoneticPr fontId="1" type="noConversion"/>
  </si>
  <si>
    <t>捷運 京都車站 - 稻荷車站</t>
    <phoneticPr fontId="1" type="noConversion"/>
  </si>
  <si>
    <t>捷運 龍谷大前深草站 - 淀屋橋站</t>
    <phoneticPr fontId="1" type="noConversion"/>
  </si>
  <si>
    <t>麥當勞 早餐</t>
    <phoneticPr fontId="1" type="noConversion"/>
  </si>
  <si>
    <t>京都博物館 門票</t>
    <phoneticPr fontId="1" type="noConversion"/>
  </si>
  <si>
    <t>公車 博物館 - 祇園</t>
    <phoneticPr fontId="1" type="noConversion"/>
  </si>
  <si>
    <t>Kyoto Gion Tankatsu Wadafuku 炸豬排套餐</t>
    <phoneticPr fontId="1" type="noConversion"/>
  </si>
  <si>
    <t>公車 祇園 - 飯店</t>
    <phoneticPr fontId="1" type="noConversion"/>
  </si>
  <si>
    <t>捷運 七條 - 淀屋橋站</t>
    <phoneticPr fontId="1" type="noConversion"/>
  </si>
  <si>
    <t>淀屋橋站 - 難波站</t>
    <phoneticPr fontId="1" type="noConversion"/>
  </si>
  <si>
    <t>尚都樂客 藥妝</t>
    <phoneticPr fontId="1" type="noConversion"/>
  </si>
  <si>
    <t>力丸 燒肉 吃到飽</t>
    <phoneticPr fontId="1" type="noConversion"/>
  </si>
  <si>
    <t>唐吉軻德 零食</t>
    <phoneticPr fontId="1" type="noConversion"/>
  </si>
  <si>
    <t>捷運 難波 - 阿波座</t>
    <phoneticPr fontId="1" type="noConversion"/>
  </si>
  <si>
    <t>酒釀起司</t>
    <phoneticPr fontId="1" type="noConversion"/>
  </si>
  <si>
    <t>捷運 阿波座 - 心齋橋</t>
    <phoneticPr fontId="1" type="noConversion"/>
  </si>
  <si>
    <t>Habers 水果千層 + Organic Blender Coffee(有機混和咖啡)</t>
    <phoneticPr fontId="1" type="noConversion"/>
  </si>
  <si>
    <t>捷運 難波 - 西梅田 - 姬路</t>
    <phoneticPr fontId="1" type="noConversion"/>
  </si>
  <si>
    <t>姬路城 + 好古園 門票</t>
    <phoneticPr fontId="1" type="noConversion"/>
  </si>
  <si>
    <t>Montbell 薄長褲</t>
    <phoneticPr fontId="1" type="noConversion"/>
  </si>
  <si>
    <t>明石風章魚燒</t>
    <phoneticPr fontId="1" type="noConversion"/>
  </si>
  <si>
    <t xml:space="preserve">Kyo-Chabana 御好燒 </t>
    <phoneticPr fontId="1" type="noConversion"/>
  </si>
  <si>
    <t>捷運 姬路 - 西梅田 - 難波</t>
    <phoneticPr fontId="1" type="noConversion"/>
  </si>
  <si>
    <t>Life 超市 隔天早餐+消夜</t>
    <phoneticPr fontId="1" type="noConversion"/>
  </si>
  <si>
    <t>捷運 難波 - 本町 - 夢洲</t>
    <phoneticPr fontId="1" type="noConversion"/>
  </si>
  <si>
    <t>壽司郎 - 海鮮風軍艦三拼</t>
    <phoneticPr fontId="1" type="noConversion"/>
  </si>
  <si>
    <t>壽司郎 - 鮭魚酪梨壽司捲</t>
    <phoneticPr fontId="1" type="noConversion"/>
  </si>
  <si>
    <t>壽司郎 - 手卷壽司 鮭魚+鮭魚卵</t>
    <phoneticPr fontId="1" type="noConversion"/>
  </si>
  <si>
    <t>壽司郎 - 鮪魚赤身和大腹太捲壽司</t>
    <phoneticPr fontId="1" type="noConversion"/>
  </si>
  <si>
    <t>壽司郎 - 鮭魚押壽司</t>
    <phoneticPr fontId="1" type="noConversion"/>
  </si>
  <si>
    <t>壽司郎 - 路基養殖海膽海苔壽司</t>
    <phoneticPr fontId="1" type="noConversion"/>
  </si>
  <si>
    <t>壽司郎 - 鮪魚壽司三拼</t>
    <phoneticPr fontId="1" type="noConversion"/>
  </si>
  <si>
    <t>販賣機 寶礦力水得</t>
    <phoneticPr fontId="1" type="noConversion"/>
  </si>
  <si>
    <t>捷運 夢洲 - 本町 - 難波</t>
    <phoneticPr fontId="1" type="noConversion"/>
  </si>
  <si>
    <t>Torisuke Namba Honten 燒鳥</t>
    <phoneticPr fontId="1" type="noConversion"/>
  </si>
  <si>
    <t>鳥貴族 吃到飽</t>
    <phoneticPr fontId="1" type="noConversion"/>
  </si>
  <si>
    <t>Life 超市 隔天早午餐+消夜</t>
    <phoneticPr fontId="1" type="noConversion"/>
  </si>
  <si>
    <t>星乃咖啡 咖啡+起司吐司</t>
    <phoneticPr fontId="1" type="noConversion"/>
  </si>
  <si>
    <t>捷運 難波 - 梅田</t>
    <phoneticPr fontId="1" type="noConversion"/>
  </si>
  <si>
    <t>USHIGORO 和牛燒肉</t>
    <phoneticPr fontId="1" type="noConversion"/>
  </si>
  <si>
    <t>捷運 梅田 - 四橋</t>
    <phoneticPr fontId="1" type="noConversion"/>
  </si>
  <si>
    <t>萬博官方商店 - 脈脈磁鐵</t>
    <phoneticPr fontId="1" type="noConversion"/>
  </si>
  <si>
    <t>カヌレ堂 CANELÉ du JAPON 長堀橋店 - 可麗露*24*2+3</t>
    <phoneticPr fontId="1" type="noConversion"/>
  </si>
  <si>
    <t>酒 やまや - 加茂錦 純米吟釀</t>
    <phoneticPr fontId="1" type="noConversion"/>
  </si>
  <si>
    <t>橡子共和國 - 龍貓刺繡錢包</t>
    <phoneticPr fontId="1" type="noConversion"/>
  </si>
  <si>
    <t>公車 難波 - 關西國際機場</t>
    <phoneticPr fontId="1" type="noConversion"/>
  </si>
  <si>
    <t>愛馬仕 大地系列 香水組合包(香水 100ml+15ml、沐浴乳 40 ml)</t>
    <phoneticPr fontId="1" type="noConversion"/>
  </si>
  <si>
    <t>日本食堂 - 烏龍麵</t>
    <phoneticPr fontId="1" type="noConversion"/>
  </si>
  <si>
    <t>免稅店 紅茶、草莓、起司 餅乾</t>
    <phoneticPr fontId="1" type="noConversion"/>
  </si>
  <si>
    <t>網購</t>
    <phoneticPr fontId="1" type="noConversion"/>
  </si>
  <si>
    <t>Amazon - 新政 No.6 S-type 720ml</t>
    <phoneticPr fontId="1" type="noConversion"/>
  </si>
  <si>
    <t>酒専門店鍵や - 黑龍酒杯</t>
    <phoneticPr fontId="1" type="noConversion"/>
  </si>
  <si>
    <t>酒専門店鍵や - 紀土 純米大吟醸 山田四十 720ml</t>
    <phoneticPr fontId="1" type="noConversion"/>
  </si>
  <si>
    <t>酒専門店鍵や - 宮寒梅 純米大吟醸 美山錦45% 720ml</t>
    <phoneticPr fontId="1" type="noConversion"/>
  </si>
  <si>
    <t>酒専門店鍵や - 東洋美人 限定純米吟醸 醇道一途 山田錦 720ml</t>
    <phoneticPr fontId="1" type="noConversion"/>
  </si>
  <si>
    <t>酒専門店鍵や - みむろ杉 純大吟 高橋活日命に捧ぐ 720ml</t>
    <phoneticPr fontId="1" type="noConversion"/>
  </si>
  <si>
    <t>任天堂博物館 門票</t>
    <phoneticPr fontId="1" type="noConversion"/>
  </si>
  <si>
    <t>酒専門店鍵や</t>
  </si>
  <si>
    <t>Amazon</t>
  </si>
  <si>
    <t>關西機場免稅店</t>
    <phoneticPr fontId="1" type="noConversion"/>
  </si>
  <si>
    <t>酒 やまや</t>
  </si>
  <si>
    <t>橡子共和國</t>
  </si>
  <si>
    <t>萬博官方商店</t>
  </si>
  <si>
    <t>カヌレ堂 CANELÉ du JAPON</t>
  </si>
  <si>
    <t>星乃咖啡</t>
  </si>
  <si>
    <t>USHIGORO</t>
  </si>
  <si>
    <t>大阪・關西世博會</t>
    <phoneticPr fontId="1" type="noConversion"/>
  </si>
  <si>
    <t>壽司郎</t>
  </si>
  <si>
    <t>Torisuke</t>
  </si>
  <si>
    <t>Life 超市</t>
  </si>
  <si>
    <t>Kyo-Chabana</t>
  </si>
  <si>
    <t>Montbell</t>
  </si>
  <si>
    <t>姫路TACOPY</t>
    <phoneticPr fontId="1" type="noConversion"/>
  </si>
  <si>
    <t>心酔わせるお酒 島田商店</t>
    <phoneticPr fontId="1" type="noConversion"/>
  </si>
  <si>
    <t>Habers</t>
    <phoneticPr fontId="1" type="noConversion"/>
  </si>
  <si>
    <t>唐吉軻德</t>
  </si>
  <si>
    <t>力丸 燒肉</t>
  </si>
  <si>
    <t>尚都樂客</t>
  </si>
  <si>
    <t>Kyoto Gion Tankatsu Wadafuku</t>
  </si>
  <si>
    <t>麵屋 優光</t>
  </si>
  <si>
    <t>增田茶鋪</t>
  </si>
  <si>
    <t>函館壽司</t>
  </si>
  <si>
    <t>鳥せい(Torisei)</t>
  </si>
  <si>
    <t>金色三麥</t>
  </si>
  <si>
    <t>樂沐麵包</t>
  </si>
  <si>
    <t>Klook</t>
    <phoneticPr fontId="1" type="noConversion"/>
  </si>
  <si>
    <t>立呑・座呑・外呑処 新橋へそ 京都駅前本店</t>
    <phoneticPr fontId="1" type="noConversion"/>
  </si>
  <si>
    <t>桃園機場&lt;-&gt;福岡 來回飛機票</t>
    <phoneticPr fontId="1" type="noConversion"/>
  </si>
  <si>
    <t>KAVALAN 威士忌杯+酒杯</t>
    <phoneticPr fontId="1" type="noConversion"/>
  </si>
  <si>
    <t>每人 13844</t>
    <phoneticPr fontId="1" type="noConversion"/>
  </si>
  <si>
    <t>第一天(08/12)</t>
    <phoneticPr fontId="1" type="noConversion"/>
  </si>
  <si>
    <t>第二天(08/13)</t>
    <phoneticPr fontId="1" type="noConversion"/>
  </si>
  <si>
    <t>第三天(08/14)</t>
    <phoneticPr fontId="1" type="noConversion"/>
  </si>
  <si>
    <t>第五天(08/16)</t>
    <phoneticPr fontId="1" type="noConversion"/>
  </si>
  <si>
    <t>第六天(08/17)</t>
    <phoneticPr fontId="1" type="noConversion"/>
  </si>
  <si>
    <t>第七天(08/18)</t>
    <phoneticPr fontId="1" type="noConversion"/>
  </si>
  <si>
    <t>One OK Rock 演唱會 VIP 門票</t>
    <phoneticPr fontId="1" type="noConversion"/>
  </si>
  <si>
    <t>檸檬氣泡水 - 黑門中川 24小時超市</t>
    <phoneticPr fontId="1" type="noConversion"/>
  </si>
  <si>
    <t>黑門中川 24小時超市</t>
  </si>
  <si>
    <t>網卡(七天總量5G)</t>
    <phoneticPr fontId="1" type="noConversion"/>
  </si>
  <si>
    <t>網卡(七天一天1G)</t>
    <phoneticPr fontId="1" type="noConversion"/>
  </si>
  <si>
    <t>JP Pass (三天)</t>
    <phoneticPr fontId="1" type="noConversion"/>
  </si>
  <si>
    <t>只有一人購買</t>
    <phoneticPr fontId="1" type="noConversion"/>
  </si>
  <si>
    <t>兩人購買</t>
    <phoneticPr fontId="1" type="noConversion"/>
  </si>
  <si>
    <t>三人購買</t>
    <phoneticPr fontId="1" type="noConversion"/>
  </si>
  <si>
    <t>麥當勞 中薯買一送一</t>
    <phoneticPr fontId="1" type="noConversion"/>
  </si>
  <si>
    <t>樂沐麵包 - 黑松露奶油捲</t>
  </si>
  <si>
    <t>福岡機場 - 博多站 捷運</t>
    <phoneticPr fontId="1" type="noConversion"/>
  </si>
  <si>
    <t>長浜御殿 住吉店 - 拉麵、煎餃、關東煮</t>
    <phoneticPr fontId="1" type="noConversion"/>
  </si>
  <si>
    <t>Sunny 博多住吉店 24 小時超市 - 十六茶 2L</t>
    <phoneticPr fontId="1" type="noConversion"/>
  </si>
  <si>
    <t>Sunny 博多住吉店 24 小時超市 - UCC咖啡</t>
    <phoneticPr fontId="1" type="noConversion"/>
  </si>
  <si>
    <t>Sunny 博多住吉店 24 小時超市 - 吐司</t>
    <phoneticPr fontId="1" type="noConversion"/>
  </si>
  <si>
    <t>Sunny 博多住吉店 24 小時超市 - 辛口明太子</t>
    <phoneticPr fontId="1" type="noConversion"/>
  </si>
  <si>
    <t>Sunny 博多住吉店 24 小時超市 - 牛奶</t>
    <phoneticPr fontId="1" type="noConversion"/>
  </si>
  <si>
    <t>Sunny 博多住吉店 24 小時超市 - 章魚燒</t>
    <phoneticPr fontId="1" type="noConversion"/>
  </si>
  <si>
    <t>飯店 - 元祖博多めんたい重 公車</t>
    <phoneticPr fontId="1" type="noConversion"/>
  </si>
  <si>
    <t>260/人</t>
    <phoneticPr fontId="1" type="noConversion"/>
  </si>
  <si>
    <t>元祖博多めんたい重 - 明太子飯、明太子</t>
    <phoneticPr fontId="1" type="noConversion"/>
  </si>
  <si>
    <t>明太子飯 2500、明太子 2200</t>
    <phoneticPr fontId="1" type="noConversion"/>
  </si>
  <si>
    <t>中洲川端站 - 博多站 捷運</t>
    <phoneticPr fontId="1" type="noConversion"/>
  </si>
  <si>
    <t>Sunny 博多住吉店 24 小時超市 - 水蜜桃*5</t>
    <phoneticPr fontId="1" type="noConversion"/>
  </si>
  <si>
    <t>LAWSOM - 銅鑼燒*3</t>
    <phoneticPr fontId="1" type="noConversion"/>
  </si>
  <si>
    <t>努努雞 中盒</t>
    <phoneticPr fontId="1" type="noConversion"/>
  </si>
  <si>
    <t>治一郎 - 布丁*2</t>
    <phoneticPr fontId="1" type="noConversion"/>
  </si>
  <si>
    <t>三日月屋 - 紅茶可頌</t>
    <phoneticPr fontId="1" type="noConversion"/>
  </si>
  <si>
    <t>三日月屋 - 肉桂可頌</t>
    <phoneticPr fontId="1" type="noConversion"/>
  </si>
  <si>
    <t>三日月屋 - 抹茶可頌</t>
    <phoneticPr fontId="1" type="noConversion"/>
  </si>
  <si>
    <t>博多站超市 - 鹽味羊羹</t>
    <phoneticPr fontId="1" type="noConversion"/>
  </si>
  <si>
    <t>博多站超市 - 寶礦力水得</t>
    <phoneticPr fontId="1" type="noConversion"/>
  </si>
  <si>
    <t>全家 - 運動飲料</t>
    <phoneticPr fontId="1" type="noConversion"/>
  </si>
  <si>
    <t>全家 - 可爾必思</t>
    <phoneticPr fontId="1" type="noConversion"/>
  </si>
  <si>
    <t>全家 - 檸檬冰杯*2</t>
    <phoneticPr fontId="1" type="noConversion"/>
  </si>
  <si>
    <t>全家 - 牛奶冰淇淋</t>
    <phoneticPr fontId="1" type="noConversion"/>
  </si>
  <si>
    <t>すし遊館 唐戸店 迴轉壽司</t>
    <phoneticPr fontId="1" type="noConversion"/>
  </si>
  <si>
    <t>DACOMECCA - 香腸麵包</t>
    <phoneticPr fontId="1" type="noConversion"/>
  </si>
  <si>
    <t>DACOMECCA - 蛋塔</t>
    <phoneticPr fontId="1" type="noConversion"/>
  </si>
  <si>
    <t>DACOMECCA - 菠蘿麵包</t>
    <phoneticPr fontId="1" type="noConversion"/>
  </si>
  <si>
    <t>DACOMECCA - 卡門貝爾火腿麵包</t>
    <phoneticPr fontId="1" type="noConversion"/>
  </si>
  <si>
    <t>DACOMECCA - 厚切培根麵包*2</t>
    <phoneticPr fontId="1" type="noConversion"/>
  </si>
  <si>
    <t>DACOMECCA - 明太子法國面包</t>
    <phoneticPr fontId="1" type="noConversion"/>
  </si>
  <si>
    <t>DACOMECCA - 明太子番茄法國面包*2</t>
    <phoneticPr fontId="1" type="noConversion"/>
  </si>
  <si>
    <t>DACOMECCA - 脆皮三明治</t>
    <phoneticPr fontId="1" type="noConversion"/>
  </si>
  <si>
    <t>DACOMECCA - 鳳梨麵包</t>
    <phoneticPr fontId="1" type="noConversion"/>
  </si>
  <si>
    <t>自動販賣機 - 淡綠茶</t>
    <phoneticPr fontId="1" type="noConversion"/>
  </si>
  <si>
    <t>自動販賣機 - 濃綠茶</t>
    <phoneticPr fontId="1" type="noConversion"/>
  </si>
  <si>
    <t>自動販賣機 - 麥茶</t>
    <phoneticPr fontId="1" type="noConversion"/>
  </si>
  <si>
    <t>klook 關門海峽花火大會</t>
    <phoneticPr fontId="1" type="noConversion"/>
  </si>
  <si>
    <t>2349 台幣/人</t>
    <phoneticPr fontId="1" type="noConversion"/>
  </si>
  <si>
    <t>210 日幣/人</t>
    <phoneticPr fontId="1" type="noConversion"/>
  </si>
  <si>
    <t>150 日幣/人</t>
    <phoneticPr fontId="1" type="noConversion"/>
  </si>
  <si>
    <t>KKDay 九州宮崎一日遊</t>
    <phoneticPr fontId="1" type="noConversion"/>
  </si>
  <si>
    <t>971 台幣/人</t>
    <phoneticPr fontId="1" type="noConversion"/>
  </si>
  <si>
    <t>博多拉麵街 - 元祖 名島亭</t>
    <phoneticPr fontId="1" type="noConversion"/>
  </si>
  <si>
    <t>Sunny 博多住吉店 24 小時超市 - 綾鷹淡綠茶</t>
    <phoneticPr fontId="1" type="noConversion"/>
  </si>
  <si>
    <t>Sunny 博多住吉店 24 小時超市 - 水蜜桃*10</t>
    <phoneticPr fontId="1" type="noConversion"/>
  </si>
  <si>
    <t>LOPIA - S&amp;B 關東煮 粉包</t>
    <phoneticPr fontId="1" type="noConversion"/>
  </si>
  <si>
    <t>LOPIA - 明太子美乃滋</t>
    <phoneticPr fontId="1" type="noConversion"/>
  </si>
  <si>
    <t>LOPIA - 明太子吐司抹醬*2</t>
    <phoneticPr fontId="1" type="noConversion"/>
  </si>
  <si>
    <t>LOPIA - 布丁*5</t>
    <phoneticPr fontId="1" type="noConversion"/>
  </si>
  <si>
    <t>LOPIA - 草莓優格*5</t>
    <phoneticPr fontId="1" type="noConversion"/>
  </si>
  <si>
    <t>LOPIA - 海膽</t>
    <phoneticPr fontId="1" type="noConversion"/>
  </si>
  <si>
    <t>LOPIA - 起司蛋糕</t>
    <phoneticPr fontId="1" type="noConversion"/>
  </si>
  <si>
    <t>LOPIA - 鰻魚便當</t>
    <phoneticPr fontId="1" type="noConversion"/>
  </si>
  <si>
    <t>LOPIA - 檸檬堂5%</t>
    <phoneticPr fontId="1" type="noConversion"/>
  </si>
  <si>
    <t>LOPIA - 檸檬堂7%</t>
    <phoneticPr fontId="1" type="noConversion"/>
  </si>
  <si>
    <t>第四天(08/15)</t>
    <phoneticPr fontId="1" type="noConversion"/>
  </si>
  <si>
    <t>博多シーフード うお田 - 明太子玉子燒丼*5</t>
    <phoneticPr fontId="1" type="noConversion"/>
  </si>
  <si>
    <t>飯店 - 博多シーフード うお田 公車</t>
    <phoneticPr fontId="1" type="noConversion"/>
  </si>
  <si>
    <t>西鐵福岡(天神) - 太宰府 捷運</t>
    <phoneticPr fontId="1" type="noConversion"/>
  </si>
  <si>
    <t>420 日幣/人</t>
    <phoneticPr fontId="1" type="noConversion"/>
  </si>
  <si>
    <t>梅枝餅 かさの家 - 梅枝餅</t>
    <phoneticPr fontId="1" type="noConversion"/>
  </si>
  <si>
    <t>150 日幣/個</t>
    <phoneticPr fontId="1" type="noConversion"/>
  </si>
  <si>
    <t>草莓最中·大福 天山 本店 - 草莓冰、汽水冰</t>
    <phoneticPr fontId="1" type="noConversion"/>
  </si>
  <si>
    <t>500 日幣/個</t>
    <phoneticPr fontId="1" type="noConversion"/>
  </si>
  <si>
    <t>一蘭拉麵 - 合格拉麵</t>
    <phoneticPr fontId="1" type="noConversion"/>
  </si>
  <si>
    <t>980日幣/人</t>
    <phoneticPr fontId="1" type="noConversion"/>
  </si>
  <si>
    <t>太宰府 - 西鐵福岡(天神) 捷運</t>
    <phoneticPr fontId="1" type="noConversion"/>
  </si>
  <si>
    <t>KALDI - 巧克力蛋糕*2</t>
    <phoneticPr fontId="1" type="noConversion"/>
  </si>
  <si>
    <t>KALDI - 大分柚子胡椒</t>
    <phoneticPr fontId="1" type="noConversion"/>
  </si>
  <si>
    <t>FULL FULL - 明太子法國面包*4</t>
    <phoneticPr fontId="1" type="noConversion"/>
  </si>
  <si>
    <t>FULL FULL - 柚子胡椒法國麵包</t>
    <phoneticPr fontId="1" type="noConversion"/>
  </si>
  <si>
    <t>FULL FULL - 鹽可頌*2</t>
    <phoneticPr fontId="1" type="noConversion"/>
  </si>
  <si>
    <t>FULL FULL - 栗子麵包*2</t>
    <phoneticPr fontId="1" type="noConversion"/>
  </si>
  <si>
    <t>UNIQLO - 水星魔女 T恤</t>
    <phoneticPr fontId="1" type="noConversion"/>
  </si>
  <si>
    <t>UNIQLO -  AIRism棉質網眼 POLO衫</t>
    <phoneticPr fontId="1" type="noConversion"/>
  </si>
  <si>
    <t>UNIQLO -  AIRism無縫平口內褲</t>
    <phoneticPr fontId="1" type="noConversion"/>
  </si>
  <si>
    <t>UNIQLO -  美樂蒂 T恤</t>
    <phoneticPr fontId="1" type="noConversion"/>
  </si>
  <si>
    <t>UNIQLO -  AIRism防紫外線面罩</t>
    <phoneticPr fontId="1" type="noConversion"/>
  </si>
  <si>
    <t>3900 日幣/人；55盤+10杯飲料</t>
    <phoneticPr fontId="1" type="noConversion"/>
  </si>
  <si>
    <t>mina天神 - 飯店 公車</t>
    <phoneticPr fontId="1" type="noConversion"/>
  </si>
  <si>
    <t>飯店 - 大橋站 公車</t>
    <phoneticPr fontId="1" type="noConversion"/>
  </si>
  <si>
    <t>大橋站 - 飯店 公車</t>
    <phoneticPr fontId="1" type="noConversion"/>
  </si>
  <si>
    <t>Sunny 博多住吉店 24 小時超市 - 運動飲料</t>
    <phoneticPr fontId="1" type="noConversion"/>
  </si>
  <si>
    <t>GU - 媽媽的衣服</t>
    <phoneticPr fontId="1" type="noConversion"/>
  </si>
  <si>
    <t>博多 - 小倉 音速號</t>
    <phoneticPr fontId="1" type="noConversion"/>
  </si>
  <si>
    <t>小倉 - 門司港 捷運</t>
    <phoneticPr fontId="1" type="noConversion"/>
  </si>
  <si>
    <t>門司港 - 下關 渡輪</t>
    <phoneticPr fontId="1" type="noConversion"/>
  </si>
  <si>
    <t>唐戶市場 - 海膽蓋飯</t>
    <phoneticPr fontId="1" type="noConversion"/>
  </si>
  <si>
    <t>唐戶市場 - 鮪魚握壽司</t>
    <phoneticPr fontId="1" type="noConversion"/>
  </si>
  <si>
    <t>自動販賣機</t>
    <phoneticPr fontId="1" type="noConversion"/>
  </si>
  <si>
    <t>門司港 - 小倉 公車</t>
    <phoneticPr fontId="1" type="noConversion"/>
  </si>
  <si>
    <t>小倉 - 博多 音速號</t>
    <phoneticPr fontId="1" type="noConversion"/>
  </si>
  <si>
    <t>福岡住宿 - GRAND BASE Hakata Sumiyoshi</t>
    <phoneticPr fontId="1" type="noConversion"/>
  </si>
  <si>
    <t>別府住宿 - Beppu Daiiti Hotel</t>
    <phoneticPr fontId="1" type="noConversion"/>
  </si>
  <si>
    <t>住一間五人五晚</t>
    <phoneticPr fontId="1" type="noConversion"/>
  </si>
  <si>
    <t>住一間一人一晚</t>
    <phoneticPr fontId="1" type="noConversion"/>
  </si>
  <si>
    <t>住兩間四人一晚</t>
    <phoneticPr fontId="1" type="noConversion"/>
  </si>
  <si>
    <t>福岡住宿 - 法華俱樂部酒店 福岡</t>
    <phoneticPr fontId="1" type="noConversion"/>
  </si>
  <si>
    <t>鳳凰美田 純米大吟醸 赤判 火入</t>
    <phoneticPr fontId="1" type="noConversion"/>
  </si>
  <si>
    <t>播州一献 純米大吟醸 北錦 火入</t>
    <phoneticPr fontId="1" type="noConversion"/>
  </si>
  <si>
    <t>冩樂 純米大吟醸 極上二割</t>
    <phoneticPr fontId="1" type="noConversion"/>
  </si>
  <si>
    <t>作 純米吟醸 雄町</t>
    <phoneticPr fontId="1" type="noConversion"/>
  </si>
  <si>
    <t>會津宮泉 純米吟醸 渡船2号</t>
    <phoneticPr fontId="1" type="noConversion"/>
  </si>
  <si>
    <t>産土 山田錦 生 二農醸（2024醸造年度）</t>
    <phoneticPr fontId="1" type="noConversion"/>
  </si>
  <si>
    <t>400 日幣/人</t>
    <phoneticPr fontId="1" type="noConversion"/>
  </si>
  <si>
    <t>唐戶市場販賣機、赤間神宮販賣機、海底步道販賣機</t>
    <phoneticPr fontId="1" type="noConversion"/>
  </si>
  <si>
    <t xml:space="preserve">2640 日幣/人；自由席特急券 </t>
    <phoneticPr fontId="1" type="noConversion"/>
  </si>
  <si>
    <t>340 日幣/人</t>
    <phoneticPr fontId="1" type="noConversion"/>
  </si>
  <si>
    <t>440 日幣/人</t>
    <phoneticPr fontId="1" type="noConversion"/>
  </si>
  <si>
    <t>1510 日幣/人</t>
    <phoneticPr fontId="1" type="noConversion"/>
  </si>
  <si>
    <t>燒咖哩 プリンセスピピ</t>
    <phoneticPr fontId="1" type="noConversion"/>
  </si>
  <si>
    <t>門司港懷舊展望室 門票</t>
    <phoneticPr fontId="1" type="noConversion"/>
  </si>
  <si>
    <t>300 日幣/人</t>
    <phoneticPr fontId="1" type="noConversion"/>
  </si>
  <si>
    <t>門司港懷舊觀光物產館 港House - 門司港巧克力香蕉麻糬</t>
    <phoneticPr fontId="1" type="noConversion"/>
  </si>
  <si>
    <t>門司港懷舊觀光物產館 港House - 門司港復古香蕉長崎蛋糕</t>
    <phoneticPr fontId="1" type="noConversion"/>
  </si>
  <si>
    <t>Sunny 博多住吉店 24 小時超市 - 日清泡麵</t>
    <phoneticPr fontId="1" type="noConversion"/>
  </si>
  <si>
    <t>Sunny 博多住吉店 24 小時超市 - 桃子啤酒</t>
    <phoneticPr fontId="1" type="noConversion"/>
  </si>
  <si>
    <t>Sunny 博多住吉店 24 小時超市 - 三得利 Premium Malts 啤酒</t>
    <phoneticPr fontId="1" type="noConversion"/>
  </si>
  <si>
    <t>Sunny 博多住吉店 24 小時超市 - 晴王麝香葡萄*2</t>
    <phoneticPr fontId="1" type="noConversion"/>
  </si>
  <si>
    <t>博多天婦羅 たかお - たかお天定食</t>
    <phoneticPr fontId="1" type="noConversion"/>
  </si>
  <si>
    <t>博多天婦羅 たかお - 上たかお定食</t>
    <phoneticPr fontId="1" type="noConversion"/>
  </si>
  <si>
    <t>博多天婦羅 たかお - 福岡天定食</t>
    <phoneticPr fontId="1" type="noConversion"/>
  </si>
  <si>
    <t>1600 日幣/人</t>
    <phoneticPr fontId="1" type="noConversion"/>
  </si>
  <si>
    <t>博多天婦羅 たかお - 海老天定食*2</t>
    <phoneticPr fontId="1" type="noConversion"/>
  </si>
  <si>
    <t xml:space="preserve">博多 - 大分 音速號 </t>
    <phoneticPr fontId="1" type="noConversion"/>
  </si>
  <si>
    <t>大分車站 - 大分體育館 公車</t>
    <phoneticPr fontId="1" type="noConversion"/>
  </si>
  <si>
    <t>大分體育館 - 大分車站 計程車</t>
    <phoneticPr fontId="1" type="noConversion"/>
  </si>
  <si>
    <t>大分車站 - 別府站</t>
    <phoneticPr fontId="1" type="noConversion"/>
  </si>
  <si>
    <t xml:space="preserve">有JR PASS；自由席特急券 </t>
    <phoneticPr fontId="1" type="noConversion"/>
  </si>
  <si>
    <t>有JR PASS</t>
    <phoneticPr fontId="1" type="noConversion"/>
  </si>
  <si>
    <t>Shin Shin 拉麵</t>
    <phoneticPr fontId="1" type="noConversion"/>
  </si>
  <si>
    <t>1110 日幣/人 + 一碗飯 390日幣</t>
    <phoneticPr fontId="1" type="noConversion"/>
  </si>
  <si>
    <t>Sunny 博多住吉店 24 小時超市 - 草莓牛奶</t>
    <phoneticPr fontId="1" type="noConversion"/>
  </si>
  <si>
    <t>Sunny 博多住吉店 24 小時超市 - 桃子*5</t>
    <phoneticPr fontId="1" type="noConversion"/>
  </si>
  <si>
    <t>LAWSON - 炸豬排</t>
    <phoneticPr fontId="1" type="noConversion"/>
  </si>
  <si>
    <t>LAWSON - 威金森氣泡水</t>
    <phoneticPr fontId="1" type="noConversion"/>
  </si>
  <si>
    <t>LAWSON -  Suntory Torys Extra Whisky 180ml</t>
    <phoneticPr fontId="1" type="noConversion"/>
  </si>
  <si>
    <t xml:space="preserve">UNIQLO - 媽媽的衣服 </t>
    <phoneticPr fontId="1" type="noConversion"/>
  </si>
  <si>
    <t>全家 - 無糖咖啡</t>
    <phoneticPr fontId="1" type="noConversion"/>
  </si>
  <si>
    <t>別府站 - 博多站 音速號</t>
    <phoneticPr fontId="1" type="noConversion"/>
  </si>
  <si>
    <t>小正醸造 KOMASA GIN ほうじ茶</t>
    <phoneticPr fontId="1" type="noConversion"/>
  </si>
  <si>
    <t>鰻のエイト 博多総本店</t>
    <phoneticPr fontId="1" type="noConversion"/>
  </si>
  <si>
    <t>蒸鰻魚 特x3、烤鰻魚 特x1、烤鰻魚 上x1</t>
    <phoneticPr fontId="1" type="noConversion"/>
  </si>
  <si>
    <t>松本清 - 朝日 Ashai EBIOS 愛表斯整腸錠</t>
    <phoneticPr fontId="1" type="noConversion"/>
  </si>
  <si>
    <t>買兩組</t>
    <phoneticPr fontId="1" type="noConversion"/>
  </si>
  <si>
    <t>松本清 - EVE速效頭痛藥</t>
    <phoneticPr fontId="1" type="noConversion"/>
  </si>
  <si>
    <t>買一組</t>
    <phoneticPr fontId="1" type="noConversion"/>
  </si>
  <si>
    <t>松本清 - 龍角散</t>
    <phoneticPr fontId="1" type="noConversion"/>
  </si>
  <si>
    <t>買三組</t>
    <phoneticPr fontId="1" type="noConversion"/>
  </si>
  <si>
    <t>I'm donut? 天神 - 檸檬</t>
    <phoneticPr fontId="1" type="noConversion"/>
  </si>
  <si>
    <t>I'm donut? 天神 - 原味</t>
    <phoneticPr fontId="1" type="noConversion"/>
  </si>
  <si>
    <t>I'm donut? 天神 - 抹茶</t>
    <phoneticPr fontId="1" type="noConversion"/>
  </si>
  <si>
    <t>I'm donut? 天神 - 明太子</t>
    <phoneticPr fontId="1" type="noConversion"/>
  </si>
  <si>
    <t>I'm donut? 天神 - 黑芝麻開心果</t>
    <phoneticPr fontId="1" type="noConversion"/>
  </si>
  <si>
    <t>無印良品 - 灰色防水肩背包</t>
    <phoneticPr fontId="1" type="noConversion"/>
  </si>
  <si>
    <t>無印良品 - 小白鞋</t>
    <phoneticPr fontId="1" type="noConversion"/>
  </si>
  <si>
    <t>ドラッグストアモリ住吉公園前店 - EVE速效頭痛藥</t>
    <phoneticPr fontId="1" type="noConversion"/>
  </si>
  <si>
    <t>ドラッグストアモリ住吉公園前店 - 若原錠</t>
    <phoneticPr fontId="1" type="noConversion"/>
  </si>
  <si>
    <t>ドラッグストアモリ住吉公園前店 - 眼藥水</t>
    <phoneticPr fontId="1" type="noConversion"/>
  </si>
  <si>
    <t>ドラッグストアモリ住吉公園前店 - Jagabee薯條零食</t>
    <phoneticPr fontId="1" type="noConversion"/>
  </si>
  <si>
    <t>ドラッグストアモリ住吉公園前店 - 檸檬冰</t>
    <phoneticPr fontId="1" type="noConversion"/>
  </si>
  <si>
    <t>黃金色之豚</t>
    <phoneticPr fontId="1" type="noConversion"/>
  </si>
  <si>
    <t>四元豚x3、金星豚*1、金星豚咖哩*1</t>
    <phoneticPr fontId="1" type="noConversion"/>
  </si>
  <si>
    <t>福岡機場免稅店 - 山崎蒸餾所熟成梅酒</t>
    <phoneticPr fontId="1" type="noConversion"/>
  </si>
  <si>
    <t>北海道 積單 火之帆 琴酒</t>
    <phoneticPr fontId="1" type="noConversion"/>
  </si>
  <si>
    <t>990*4+1490*2</t>
    <phoneticPr fontId="1" type="noConversion"/>
  </si>
  <si>
    <t>虎航 桃園國際機場-&gt;關西國際機場；新潟國際機場-&gt;桃園國際機場</t>
    <phoneticPr fontId="1" type="noConversion"/>
  </si>
  <si>
    <t>第一天(03/21)</t>
    <phoneticPr fontId="1" type="noConversion"/>
  </si>
  <si>
    <t>第二天(03/22)</t>
    <phoneticPr fontId="1" type="noConversion"/>
  </si>
  <si>
    <t>第三天(03/23)</t>
    <phoneticPr fontId="1" type="noConversion"/>
  </si>
  <si>
    <t>第四天(03/24)</t>
    <phoneticPr fontId="1" type="noConversion"/>
  </si>
  <si>
    <t>第五天(03/25)</t>
    <phoneticPr fontId="1" type="noConversion"/>
  </si>
  <si>
    <t>第六天(03/26)</t>
    <phoneticPr fontId="1" type="noConversion"/>
  </si>
  <si>
    <t>第七天(03/27)</t>
    <phoneticPr fontId="1" type="noConversion"/>
  </si>
  <si>
    <t>第八天(03/28)</t>
    <phoneticPr fontId="1" type="noConversion"/>
  </si>
  <si>
    <t>第九天(03/29)</t>
    <phoneticPr fontId="1" type="noConversion"/>
  </si>
  <si>
    <t>第十天(03/30)</t>
    <phoneticPr fontId="1" type="noConversion"/>
  </si>
  <si>
    <t>京都站前卓越酒店</t>
  </si>
  <si>
    <t>環亞通訊 10天 eSIM 1G/天</t>
    <phoneticPr fontId="1" type="noConversion"/>
  </si>
  <si>
    <t>虎航 40公斤加購</t>
    <phoneticPr fontId="1" type="noConversion"/>
  </si>
  <si>
    <t>寒菊(かんきく) 電照菊 純米大吟醸生原酒 山田錦50 おりがらみ 1800ml</t>
  </si>
  <si>
    <t>酒</t>
    <phoneticPr fontId="1" type="noConversion"/>
  </si>
  <si>
    <t>亀の海 純米吟釀 720ml</t>
  </si>
  <si>
    <t>金雀 飛翔 純米大吟醸 720ml</t>
  </si>
  <si>
    <t>木屋正酒造 高砂 純米大吟醸 720ml</t>
  </si>
  <si>
    <t>飛露喜 純米大吟醸 720ml</t>
  </si>
  <si>
    <t>黒龍 ESHIKOTO 五百万石 純米大吟醸 720ml</t>
  </si>
  <si>
    <t>黒龍 火いら寿 純米大吟釀 720ml</t>
  </si>
  <si>
    <t>大嶺 二粒 純米大吟釀 720ml</t>
  </si>
  <si>
    <t>阿部 貴釀酒 500ml</t>
    <phoneticPr fontId="1" type="noConversion"/>
  </si>
  <si>
    <t>亀の海 noble-resonance 至高の余韻 貴醸酒 720ml</t>
  </si>
  <si>
    <t>金雀 豬口杯</t>
  </si>
  <si>
    <t>關西國際機場 - 南海難波</t>
    <phoneticPr fontId="1" type="noConversion"/>
  </si>
  <si>
    <t>難波JR置物櫃</t>
    <phoneticPr fontId="1" type="noConversion"/>
  </si>
  <si>
    <t>全家便利商店 - 凌鷹綠茶</t>
    <phoneticPr fontId="1" type="noConversion"/>
  </si>
  <si>
    <t>達摩炸串</t>
    <phoneticPr fontId="1" type="noConversion"/>
  </si>
  <si>
    <t>章魚燒</t>
    <phoneticPr fontId="1" type="noConversion"/>
  </si>
  <si>
    <t>茅乃舍 - 茅乃舍高湯包</t>
    <phoneticPr fontId="1" type="noConversion"/>
  </si>
  <si>
    <t>Calbee 濃厚奶油起司味 洋芋片 *3</t>
    <phoneticPr fontId="1" type="noConversion"/>
  </si>
  <si>
    <t>難波JR- 梅田 - 京都</t>
    <phoneticPr fontId="1" type="noConversion"/>
  </si>
  <si>
    <t>京都住宿稅</t>
    <phoneticPr fontId="1" type="noConversion"/>
  </si>
  <si>
    <t>Montbell 羽絨外套+小跨包</t>
    <phoneticPr fontId="1" type="noConversion"/>
  </si>
  <si>
    <t>Torisei 燒鳥</t>
    <phoneticPr fontId="1" type="noConversion"/>
  </si>
  <si>
    <t>妹子之里 牛肉蓋飯</t>
    <phoneticPr fontId="1" type="noConversion"/>
  </si>
  <si>
    <t>福井中央魚市場 水螃蟹</t>
    <phoneticPr fontId="1" type="noConversion"/>
  </si>
  <si>
    <t>福井中央魚市場 魚慶 福井魚市場丼</t>
    <phoneticPr fontId="1" type="noConversion"/>
  </si>
  <si>
    <t>4320/4人</t>
    <phoneticPr fontId="1" type="noConversion"/>
  </si>
  <si>
    <t>EDHIKOTO 咖啡拿鐵</t>
    <phoneticPr fontId="1" type="noConversion"/>
  </si>
  <si>
    <t>丸岡城 門票</t>
    <phoneticPr fontId="1" type="noConversion"/>
  </si>
  <si>
    <t>Le Diamant Rose 法餐</t>
    <phoneticPr fontId="1" type="noConversion"/>
  </si>
  <si>
    <t>天菊 天婦羅</t>
    <phoneticPr fontId="1" type="noConversion"/>
  </si>
  <si>
    <t>LAWSON 唇膏</t>
    <phoneticPr fontId="1" type="noConversion"/>
  </si>
  <si>
    <t>醍醐 金澤店</t>
    <phoneticPr fontId="1" type="noConversion"/>
  </si>
  <si>
    <t>31900/4人</t>
    <phoneticPr fontId="1" type="noConversion"/>
  </si>
  <si>
    <t>麵屋大和 特製味噌拉麵</t>
    <phoneticPr fontId="1" type="noConversion"/>
  </si>
  <si>
    <t>兼六園 門票</t>
    <phoneticPr fontId="1" type="noConversion"/>
  </si>
  <si>
    <t>國立工藝館 門票</t>
    <phoneticPr fontId="1" type="noConversion"/>
  </si>
  <si>
    <t>國立工藝館 - 飯店 計程車費</t>
    <phoneticPr fontId="1" type="noConversion"/>
  </si>
  <si>
    <t>1700/4人</t>
    <phoneticPr fontId="1" type="noConversion"/>
  </si>
  <si>
    <t>金澤漁市場 三種甜蝦</t>
    <phoneticPr fontId="1" type="noConversion"/>
  </si>
  <si>
    <t>2000/4人</t>
    <phoneticPr fontId="1" type="noConversion"/>
  </si>
  <si>
    <t>2200/4人</t>
    <phoneticPr fontId="1" type="noConversion"/>
  </si>
  <si>
    <t>3200/4人</t>
    <phoneticPr fontId="1" type="noConversion"/>
  </si>
  <si>
    <t>金澤漁市場 一夜乾</t>
    <phoneticPr fontId="1" type="noConversion"/>
  </si>
  <si>
    <t>金澤漁市場 松葉蟹</t>
    <phoneticPr fontId="1" type="noConversion"/>
  </si>
  <si>
    <t>金澤漁市場 紅楚蟹</t>
    <phoneticPr fontId="1" type="noConversion"/>
  </si>
  <si>
    <t>岸壁漁市場 天然鰤魚丼</t>
    <phoneticPr fontId="1" type="noConversion"/>
  </si>
  <si>
    <t>岸壁漁市場 螢光烏賊</t>
    <phoneticPr fontId="1" type="noConversion"/>
  </si>
  <si>
    <t>岸壁漁市場 鰤魚生魚片+軟絲+沙丁魚生魚片</t>
    <phoneticPr fontId="1" type="noConversion"/>
  </si>
  <si>
    <t>680/4人</t>
    <phoneticPr fontId="1" type="noConversion"/>
  </si>
  <si>
    <t>1000/4人</t>
    <phoneticPr fontId="1" type="noConversion"/>
  </si>
  <si>
    <t>Workman 黑色薄外套</t>
    <phoneticPr fontId="1" type="noConversion"/>
  </si>
  <si>
    <t>Barzer Labo 意大利餐廳</t>
    <phoneticPr fontId="1" type="noConversion"/>
  </si>
  <si>
    <t>餐點 8800、wine pairing 5280</t>
    <phoneticPr fontId="1" type="noConversion"/>
  </si>
  <si>
    <t>城端曳山會館 門票</t>
    <phoneticPr fontId="1" type="noConversion"/>
  </si>
  <si>
    <t>富山玻璃美術館 門票</t>
    <phoneticPr fontId="1" type="noConversion"/>
  </si>
  <si>
    <t>道之站 米冰淇淋</t>
    <phoneticPr fontId="1" type="noConversion"/>
  </si>
  <si>
    <t>道之站 紅楚蟹</t>
    <phoneticPr fontId="1" type="noConversion"/>
  </si>
  <si>
    <t>5500/4人</t>
    <phoneticPr fontId="1" type="noConversion"/>
  </si>
  <si>
    <t>道之站 螃蟹湯</t>
    <phoneticPr fontId="1" type="noConversion"/>
  </si>
  <si>
    <t>販賣機 礦泉水</t>
    <phoneticPr fontId="1" type="noConversion"/>
  </si>
  <si>
    <t>アマランサス 生火腿義大利料理餐廳</t>
    <phoneticPr fontId="1" type="noConversion"/>
  </si>
  <si>
    <t>割烹 長吉</t>
    <phoneticPr fontId="1" type="noConversion"/>
  </si>
  <si>
    <t>桐子モダン ショールーム 砧板</t>
  </si>
  <si>
    <t>桐子モダン ショールーム 腳踏墊</t>
  </si>
  <si>
    <t>Stock Busters Tsubame ストックバスターズ 燕店燕三條 outlet 湯匙+叉子</t>
    <phoneticPr fontId="1" type="noConversion"/>
  </si>
  <si>
    <t>松本清 解酒藥</t>
    <phoneticPr fontId="1" type="noConversion"/>
  </si>
  <si>
    <t>3coins 行李袋</t>
  </si>
  <si>
    <t>Sushi Arai すし あらい</t>
  </si>
  <si>
    <t>白根葡萄園 採草莓</t>
    <phoneticPr fontId="1" type="noConversion"/>
  </si>
  <si>
    <t>焼きそば大野 高湯醬油炒麵+荷包蛋</t>
  </si>
  <si>
    <t>L'évo</t>
    <phoneticPr fontId="1" type="noConversion"/>
  </si>
  <si>
    <t>(400+300)/2人</t>
    <phoneticPr fontId="1" type="noConversion"/>
  </si>
  <si>
    <t>2550/4人</t>
    <phoneticPr fontId="1" type="noConversion"/>
  </si>
  <si>
    <t>租車10天+油費+ETC</t>
    <phoneticPr fontId="1" type="noConversion"/>
  </si>
  <si>
    <t>租車日時2026年3月22日（日）8:00店舗三条京阪北店
返却日時2026年4月6日（火）20:00店舗成田空港店
350550円 + ETC 20000 円 + 油費 20000 円 = 24409.375 日圓 / 天 * 10 / 4 = 61023.4375</t>
    <phoneticPr fontId="1" type="noConversion"/>
  </si>
  <si>
    <t>24380/4人</t>
  </si>
  <si>
    <t>40800/4人</t>
  </si>
  <si>
    <t>金澤 住宿費</t>
    <phoneticPr fontId="1" type="noConversion"/>
  </si>
  <si>
    <t>晚餐 自己煮的</t>
    <phoneticPr fontId="1" type="noConversion"/>
  </si>
  <si>
    <t>福井 住宿費</t>
    <phoneticPr fontId="1" type="noConversion"/>
  </si>
  <si>
    <t>36742/4人</t>
  </si>
  <si>
    <t>富山 城端 住宿 (荒町庵) 住宿費</t>
    <phoneticPr fontId="1" type="noConversion"/>
  </si>
  <si>
    <t>感冒藥</t>
    <phoneticPr fontId="1" type="noConversion"/>
  </si>
  <si>
    <t>25341/4人</t>
  </si>
  <si>
    <t>新潟 住宿費</t>
    <phoneticPr fontId="1" type="noConversion"/>
  </si>
  <si>
    <t>道之站 三色丼(海膽、蟹肉、鮭魚卵)</t>
    <phoneticPr fontId="1" type="noConversion"/>
  </si>
  <si>
    <t>新潟機場 萬代太鼓 草莓蛋捲</t>
    <phoneticPr fontId="1" type="noConversion"/>
  </si>
  <si>
    <t>新潟機場 安田牛乳越后姬餅乾</t>
    <phoneticPr fontId="1" type="noConversion"/>
  </si>
  <si>
    <t>叉子*6 660、湯匙 278</t>
    <phoneticPr fontId="1" type="noConversion"/>
  </si>
  <si>
    <t>冰見 道之站 蝦餅</t>
    <phoneticPr fontId="1" type="noConversion"/>
  </si>
  <si>
    <t>9包</t>
    <phoneticPr fontId="1" type="noConversion"/>
  </si>
  <si>
    <t>冰見 道之站 番屋街白蝦煎餅</t>
    <phoneticPr fontId="1" type="noConversion"/>
  </si>
  <si>
    <t>冰見 道之站 紅白壽煎餅</t>
    <phoneticPr fontId="1" type="noConversion"/>
  </si>
  <si>
    <t>冰見 道之站 白蝦起司脆餅</t>
    <phoneticPr fontId="1" type="noConversion"/>
  </si>
  <si>
    <t>JA 福井農貿市場 愛菜館 三里濱橄欖鹽糖</t>
    <phoneticPr fontId="1" type="noConversion"/>
  </si>
  <si>
    <t>JA 福井農貿市場 愛菜館 羽二重餅（白）</t>
    <phoneticPr fontId="1" type="noConversion"/>
  </si>
  <si>
    <t>JA 福井農貿市場 愛菜館 絹小町</t>
    <phoneticPr fontId="1" type="noConversion"/>
  </si>
  <si>
    <t>UNIQLO - 女裝 針織弧形長褲</t>
  </si>
  <si>
    <t>UNIQLO - AIRism 棉質網眼 Polo 衫</t>
  </si>
  <si>
    <t>UNIQLO - AIRism 棉質條紋 T 恤</t>
  </si>
  <si>
    <t>UNIQLO - 女裝 羅紋亨利領 T 恤</t>
  </si>
  <si>
    <t>UNIQLO - AIRism 無縫平口內褲</t>
  </si>
  <si>
    <t>UNIQLO - 哈林頓外套</t>
  </si>
  <si>
    <t>UNIQLO - 女裝 AIRism 棉質 T 恤</t>
  </si>
  <si>
    <t>UNIQLO - 女裝 可攜式抗 UV 連帽外套</t>
  </si>
  <si>
    <t>合掌村 門票</t>
    <phoneticPr fontId="1" type="noConversion"/>
  </si>
  <si>
    <t>唐吉訶德 - 情熱價格 甜巧克力</t>
  </si>
  <si>
    <t>唐吉訶德 - 情熱 可可蛋糕</t>
  </si>
  <si>
    <t>唐吉訶德 - OS-1 經口補水液 500ml</t>
  </si>
  <si>
    <t>唐吉訶德 - Alfort 帆船巧克力（2件）</t>
  </si>
  <si>
    <t>唐吉訶德 - DARS 頂級巧克力（華麗）</t>
  </si>
  <si>
    <t>唐吉訶德 - Candemina 雙重衝擊軟糖</t>
  </si>
  <si>
    <t>唐吉訶德 - Tough Gummy 嚼勁軟糖 MEGA</t>
  </si>
  <si>
    <t>唐吉訶德 - Tough Gummy 嚼勁軟糖 彈力麝香葡萄</t>
  </si>
  <si>
    <t>唐吉訶德 - Tough Gummy 嚼勁軟糖 PRO 咖啡因</t>
  </si>
  <si>
    <t>唐吉訶德 - Pure 頂級軟糖 栃木產草莓（3件）</t>
  </si>
  <si>
    <t>唐吉訶德 - Pure 頂級軟糖 山梨產白桃（3件）</t>
  </si>
  <si>
    <t>唐吉訶德 - Pure 頂級軟糖 麝香葡萄（3件）</t>
  </si>
  <si>
    <t>唐吉訶德 - Pure 軟糖 葡萄口味（2件）</t>
  </si>
  <si>
    <t>唐吉訶德 - 軟Q嚼嚼糖 麝香葡萄</t>
  </si>
  <si>
    <t>唐吉訶德 - 奶油夾心巧克力（2件）</t>
  </si>
  <si>
    <t>唐吉訶德 - KitKat 巧克力 11片裝（3件）</t>
  </si>
  <si>
    <t>唐吉訶德 - 軟糖夾心巧克力 葡萄口味</t>
  </si>
  <si>
    <t>唐吉訶德 - 行李秤</t>
  </si>
  <si>
    <t>唐吉訶德 - Ebios 愛表斯錠（胃腸藥）</t>
  </si>
  <si>
    <t>唐吉訶德 - 安耐曬 金鑽高效防曬露 NA（4件）</t>
  </si>
  <si>
    <t>任品謙的</t>
    <phoneticPr fontId="1" type="noConversion"/>
  </si>
  <si>
    <t>阿爸同事</t>
    <phoneticPr fontId="1" type="noConversion"/>
  </si>
  <si>
    <t>媽媽同事</t>
    <phoneticPr fontId="1" type="noConversion"/>
  </si>
  <si>
    <t>福岡機場免稅店 - Yamaya (やまや) 明太子 350g 博多織包裝（1件）</t>
  </si>
  <si>
    <t>福岡機場免稅店 - Yamaya (やまや) 博多明太子拌飯料（2件）</t>
  </si>
  <si>
    <t>福岡機場免稅店 - 草莓蘭朵夏餅乾 16入（1件）</t>
  </si>
  <si>
    <t>福岡機場免稅店 - 長崎蛋糕 1號 580g（2件）</t>
  </si>
  <si>
    <t>福岡機場免稅店 - 草莓千層派 12入（1件）</t>
  </si>
  <si>
    <t>福岡機場免稅店 - 明太子鮮蝦仙貝 27片裝（3件）</t>
  </si>
  <si>
    <t>福岡機場免稅店 - Sugar Butter Tree 砂糖奶油樹 草莓夾心餅乾 10入（2件）</t>
  </si>
  <si>
    <t>唐吉軻德 - 合利他命 EX PLUS 270錠（3件）</t>
  </si>
  <si>
    <t>唐吉軻德 - 大正百保能 黃金A感冒顆粒</t>
  </si>
  <si>
    <t>唐吉軻德 - 黑雷神巧克力 迷你棒</t>
  </si>
  <si>
    <t>唐吉軻德 - Tough Gummy 嚼勁軟糖 Big Bumpy</t>
  </si>
  <si>
    <t>唐吉軻德 - Alfort 帆船巧克力 栗子蒙布朗口味</t>
  </si>
  <si>
    <t>唐吉軻德 - KitKat 巧克力 11片裝</t>
  </si>
  <si>
    <t>唐吉軻德 - KitKat 巧克力 大人的甜味 10片裝（2件）</t>
  </si>
  <si>
    <t>唐吉軻德 - Alfort 帆船巧克力（2件）</t>
  </si>
  <si>
    <t>唐吉軻德 - 九州的戀人 草莓牛奶夾心餅乾</t>
  </si>
  <si>
    <t>唐吉軻德 - 熊本 Sweet Memory 蘭朵夏餅乾</t>
  </si>
  <si>
    <t>唐吉軻德 - 博多甘王草莓千層派（博多ぱいおう）</t>
  </si>
  <si>
    <t>唐吉軻德 - 3種口味巧克力裹草莓乾</t>
  </si>
  <si>
    <t>唐吉軻德 - 軟Q生軟糖（2件）</t>
  </si>
  <si>
    <t>唐吉軻德 - Pure 軟糖 夏日蜜桃蘇打</t>
  </si>
  <si>
    <t>唐吉軻德 - Pure 軟糖 麝香葡萄</t>
  </si>
  <si>
    <t>唐吉軻德 - Motchu 軟糖 白桃口味</t>
  </si>
  <si>
    <t>唐吉軻德 - Pure 軟糖 葡萄口味</t>
  </si>
  <si>
    <t>唐吉軻德 - Pure 軟糖 檸檬口味</t>
  </si>
  <si>
    <t>4980 日幣/組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</si>
</sst>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222222"/>
      <name val="Arial"/>
      <family val="2"/>
    </font>
    <font>
      <sz val="12"/>
      <color rgb="FF333333"/>
      <name val="Segoe UI"/>
      <family val="2"/>
    </font>
    <font>
      <sz val="12"/>
      <color rgb="FF333333"/>
      <name val="新細明體"/>
      <family val="2"/>
      <charset val="136"/>
    </font>
    <font>
      <sz val="12"/>
      <color rgb="FF222222"/>
      <name val="新細明體"/>
      <family val="1"/>
      <charset val="136"/>
    </font>
    <font>
      <sz val="12"/>
      <color rgb="FF222222"/>
      <name val="新細明體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花費占比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'2024-05'!$H$1</c:f>
              <c:strCache>
                <c:ptCount val="1"/>
                <c:pt idx="0">
                  <c:v>台幣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E1A-4528-931A-E9FFB017B5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E1A-4528-931A-E9FFB017B5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E1A-4528-931A-E9FFB017B5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DE1A-4528-931A-E9FFB017B5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E1A-4528-931A-E9FFB017B52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DE1A-4528-931A-E9FFB017B52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DE1A-4528-931A-E9FFB017B52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DE1A-4528-931A-E9FFB017B52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DE1A-4528-931A-E9FFB017B52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DE1A-4528-931A-E9FFB017B52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'2024-05'!$G$3:$G$7</c:f>
              <c:strCache>
                <c:ptCount val="5"/>
                <c:pt idx="0">
                  <c:v>住</c:v>
                </c:pt>
                <c:pt idx="1">
                  <c:v>交通</c:v>
                </c:pt>
                <c:pt idx="2">
                  <c:v>吃</c:v>
                </c:pt>
                <c:pt idx="3">
                  <c:v>伴手禮</c:v>
                </c:pt>
                <c:pt idx="4">
                  <c:v>門票</c:v>
                </c:pt>
              </c:strCache>
            </c:strRef>
          </c:cat>
          <c:val>
            <c:numRef>
              <c:f>'2024-05'!$H$3:$H$7</c:f>
              <c:numCache>
                <c:formatCode>General</c:formatCode>
                <c:ptCount val="5"/>
                <c:pt idx="0">
                  <c:v>45890</c:v>
                </c:pt>
                <c:pt idx="1">
                  <c:v>74043.8</c:v>
                </c:pt>
                <c:pt idx="2">
                  <c:v>50562.33</c:v>
                </c:pt>
                <c:pt idx="3">
                  <c:v>41293.56</c:v>
                </c:pt>
                <c:pt idx="4">
                  <c:v>5711.1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A-4528-931A-E9FFB017B52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'2024-05'!$I$1</c15:sqref>
                        </c15:formulaRef>
                      </c:ext>
                    </c:extLst>
                    <c:strCache>
                      <c:ptCount val="1"/>
                      <c:pt idx="0">
                        <c:v>匯率 1:0.21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DE1A-4528-931A-E9FFB017B52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9-DE1A-4528-931A-E9FFB017B52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DE1A-4528-931A-E9FFB017B52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B-DE1A-4528-931A-E9FFB017B52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DE1A-4528-931A-E9FFB017B52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D-DE1A-4528-931A-E9FFB017B529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zh-TW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8-DE1A-4528-931A-E9FFB017B529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zh-TW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9-DE1A-4528-931A-E9FFB017B529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zh-TW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A-DE1A-4528-931A-E9FFB017B529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zh-TW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B-DE1A-4528-931A-E9FFB017B529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zh-TW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C-DE1A-4528-931A-E9FFB017B529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zh-TW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D-DE1A-4528-931A-E9FFB017B52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'2024-05'!$G$3:$G$7</c15:sqref>
                        </c15:formulaRef>
                      </c:ext>
                    </c:extLst>
                    <c:strCache>
                      <c:ptCount val="5"/>
                      <c:pt idx="0">
                        <c:v>住</c:v>
                      </c:pt>
                      <c:pt idx="1">
                        <c:v>交通</c:v>
                      </c:pt>
                      <c:pt idx="2">
                        <c:v>吃</c:v>
                      </c:pt>
                      <c:pt idx="3">
                        <c:v>伴手禮</c:v>
                      </c:pt>
                      <c:pt idx="4">
                        <c:v>門票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'2024-05'!$I$2:$I$7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E1A-4528-931A-E9FFB017B52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所有花費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3.33320403915033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84-4C07-9C35-A24019591088}"/>
                </c:ext>
              </c:extLst>
            </c:dLbl>
            <c:dLbl>
              <c:idx val="1"/>
              <c:layout>
                <c:manualLayout>
                  <c:x val="-3.5894511106311874E-17"/>
                  <c:y val="-4.9131789560802712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84-4C07-9C35-A24019591088}"/>
                </c:ext>
              </c:extLst>
            </c:dLbl>
            <c:dLbl>
              <c:idx val="2"/>
              <c:layout>
                <c:manualLayout>
                  <c:x val="1.9579050416054823E-3"/>
                  <c:y val="-4.9131789560847869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84-4C07-9C35-A24019591088}"/>
                </c:ext>
              </c:extLst>
            </c:dLbl>
            <c:dLbl>
              <c:idx val="3"/>
              <c:layout>
                <c:manualLayout>
                  <c:x val="0"/>
                  <c:y val="-3.333204039150278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84-4C07-9C35-A24019591088}"/>
                </c:ext>
              </c:extLst>
            </c:dLbl>
            <c:dLbl>
              <c:idx val="4"/>
              <c:layout>
                <c:manualLayout>
                  <c:x val="-1.435780444252475E-16"/>
                  <c:y val="4.273172749957859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884-4C07-9C35-A240195910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'2024-05'!$G$3:$G$7</c:f>
              <c:strCache>
                <c:ptCount val="5"/>
                <c:pt idx="0">
                  <c:v>住</c:v>
                </c:pt>
                <c:pt idx="1">
                  <c:v>交通</c:v>
                </c:pt>
                <c:pt idx="2">
                  <c:v>吃</c:v>
                </c:pt>
                <c:pt idx="3">
                  <c:v>伴手禮</c:v>
                </c:pt>
                <c:pt idx="4">
                  <c:v>門票</c:v>
                </c:pt>
              </c:strCache>
            </c:strRef>
          </c:cat>
          <c:val>
            <c:numRef>
              <c:f>'2024-05'!$H$3:$H$7</c:f>
              <c:numCache>
                <c:formatCode>General</c:formatCode>
                <c:ptCount val="5"/>
                <c:pt idx="0">
                  <c:v>45890</c:v>
                </c:pt>
                <c:pt idx="1">
                  <c:v>74043.8</c:v>
                </c:pt>
                <c:pt idx="2">
                  <c:v>50562.33</c:v>
                </c:pt>
                <c:pt idx="3">
                  <c:v>41293.56</c:v>
                </c:pt>
                <c:pt idx="4">
                  <c:v>5711.1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4-4C07-9C35-A240195910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7715023"/>
        <c:axId val="707711695"/>
      </c:barChart>
      <c:catAx>
        <c:axId val="70771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7711695"/>
        <c:crosses val="autoZero"/>
        <c:auto val="1"/>
        <c:lblAlgn val="ctr"/>
        <c:lblOffset val="100"/>
        <c:noMultiLvlLbl val="0"/>
      </c:catAx>
      <c:valAx>
        <c:axId val="70771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771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790574</xdr:colOff>
      <xdr:row>29</xdr:row>
      <xdr:rowOff>142875</xdr:rowOff>
    </xdr:from>
    <xdr:to>
      <xdr:col>14</xdr:col>
      <xdr:colOff>314324</xdr:colOff>
      <xdr:row>56</xdr:row>
      <xdr:rowOff>123825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F0C5F14-4E83-42A6-91C2-104BB0003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47624</xdr:colOff>
      <xdr:row>8</xdr:row>
      <xdr:rowOff>28575</xdr:rowOff>
    </xdr:from>
    <xdr:to>
      <xdr:col>14</xdr:col>
      <xdr:colOff>314324</xdr:colOff>
      <xdr:row>26</xdr:row>
      <xdr:rowOff>123825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F0B3A41-80B4-4E22-9B07-E4034B2A2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3C0A-CF7A-4E30-BF8C-EDE650095909}">
  <dimension ref="A1:J72"/>
  <sheetViews>
    <sheetView workbookViewId="0">
      <selection activeCell="J2" sqref="J2"/>
    </sheetView>
  </sheetViews>
  <sheetFormatPr defaultRowHeight="16.2" x14ac:dyDescent="0.3"/>
  <cols>
    <col min="1" max="1" width="39" style="2" bestFit="1" customWidth="1"/>
    <col min="4" max="4" width="18.109375" customWidth="1"/>
    <col min="6" max="6" width="11.44140625" customWidth="1"/>
    <col min="8" max="8" width="12.21875" bestFit="1" customWidth="1"/>
  </cols>
  <sheetData>
    <row r="1" spans="1:10" x14ac:dyDescent="0.3">
      <c r="A1" s="2" t="s">
        <v>2</v>
      </c>
      <c r="B1" s="2" t="s">
        <v>0</v>
      </c>
      <c r="C1" s="2" t="s">
        <v>1</v>
      </c>
      <c r="D1" s="2" t="s">
        <v>71</v>
      </c>
      <c r="E1" s="2" t="s">
        <v>210</v>
      </c>
    </row>
    <row r="2" spans="1:10" x14ac:dyDescent="0.3">
      <c r="A2" s="2" t="s">
        <v>4</v>
      </c>
      <c r="B2">
        <v>8858</v>
      </c>
    </row>
    <row r="3" spans="1:10" x14ac:dyDescent="0.3">
      <c r="A3" s="2" t="s">
        <v>5</v>
      </c>
      <c r="C3">
        <v>31510</v>
      </c>
      <c r="H3" t="s">
        <v>65</v>
      </c>
      <c r="I3" t="s">
        <v>67</v>
      </c>
      <c r="J3">
        <f>SUM(B2:B72)+SUM(C2:C72)*0.226</f>
        <v>66801.179999999993</v>
      </c>
    </row>
    <row r="4" spans="1:10" x14ac:dyDescent="0.3">
      <c r="A4" s="2" t="s">
        <v>11</v>
      </c>
      <c r="C4">
        <v>56981</v>
      </c>
    </row>
    <row r="5" spans="1:10" x14ac:dyDescent="0.3">
      <c r="A5" s="3" t="s">
        <v>394</v>
      </c>
      <c r="B5" s="1"/>
      <c r="C5" s="1"/>
      <c r="D5" s="1"/>
      <c r="E5" s="1"/>
    </row>
    <row r="6" spans="1:10" x14ac:dyDescent="0.3">
      <c r="A6" s="2" t="s">
        <v>13</v>
      </c>
      <c r="C6">
        <v>3250</v>
      </c>
    </row>
    <row r="7" spans="1:10" x14ac:dyDescent="0.3">
      <c r="A7" s="2" t="s">
        <v>14</v>
      </c>
      <c r="B7">
        <v>49</v>
      </c>
    </row>
    <row r="8" spans="1:10" x14ac:dyDescent="0.3">
      <c r="A8" s="8" t="s">
        <v>15</v>
      </c>
      <c r="B8">
        <v>25</v>
      </c>
    </row>
    <row r="9" spans="1:10" x14ac:dyDescent="0.3">
      <c r="A9" s="2" t="s">
        <v>16</v>
      </c>
      <c r="B9">
        <v>681</v>
      </c>
    </row>
    <row r="10" spans="1:10" x14ac:dyDescent="0.3">
      <c r="A10" s="2" t="s">
        <v>17</v>
      </c>
      <c r="C10">
        <v>1330</v>
      </c>
    </row>
    <row r="11" spans="1:10" x14ac:dyDescent="0.3">
      <c r="A11" s="2" t="s">
        <v>18</v>
      </c>
      <c r="B11">
        <v>11131</v>
      </c>
    </row>
    <row r="12" spans="1:10" x14ac:dyDescent="0.3">
      <c r="A12" s="2" t="s">
        <v>19</v>
      </c>
      <c r="C12">
        <v>6440</v>
      </c>
    </row>
    <row r="13" spans="1:10" ht="19.2" x14ac:dyDescent="0.3">
      <c r="A13" s="9" t="s">
        <v>20</v>
      </c>
      <c r="C13">
        <v>2260</v>
      </c>
    </row>
    <row r="14" spans="1:10" x14ac:dyDescent="0.3">
      <c r="A14" s="3" t="s">
        <v>395</v>
      </c>
      <c r="B14" s="1"/>
      <c r="C14" s="1"/>
      <c r="D14" s="1"/>
      <c r="E14" s="1"/>
    </row>
    <row r="15" spans="1:10" x14ac:dyDescent="0.3">
      <c r="A15" s="2" t="s">
        <v>21</v>
      </c>
      <c r="C15">
        <v>2260</v>
      </c>
    </row>
    <row r="16" spans="1:10" x14ac:dyDescent="0.3">
      <c r="A16" s="2" t="s">
        <v>22</v>
      </c>
      <c r="C16">
        <v>150</v>
      </c>
    </row>
    <row r="17" spans="1:5" x14ac:dyDescent="0.3">
      <c r="A17" s="2" t="s">
        <v>23</v>
      </c>
      <c r="C17">
        <v>3400</v>
      </c>
    </row>
    <row r="18" spans="1:5" x14ac:dyDescent="0.3">
      <c r="A18" s="2" t="s">
        <v>24</v>
      </c>
      <c r="C18">
        <v>393</v>
      </c>
    </row>
    <row r="19" spans="1:5" x14ac:dyDescent="0.3">
      <c r="A19" s="2" t="s">
        <v>25</v>
      </c>
      <c r="C19">
        <v>500</v>
      </c>
    </row>
    <row r="20" spans="1:5" x14ac:dyDescent="0.3">
      <c r="A20" s="2" t="s">
        <v>26</v>
      </c>
      <c r="C20">
        <v>800</v>
      </c>
    </row>
    <row r="21" spans="1:5" x14ac:dyDescent="0.3">
      <c r="A21" s="2" t="s">
        <v>27</v>
      </c>
      <c r="C21">
        <v>2000</v>
      </c>
    </row>
    <row r="22" spans="1:5" x14ac:dyDescent="0.3">
      <c r="A22" s="2" t="s">
        <v>28</v>
      </c>
      <c r="C22">
        <v>1243</v>
      </c>
    </row>
    <row r="23" spans="1:5" x14ac:dyDescent="0.3">
      <c r="A23" s="2" t="s">
        <v>3</v>
      </c>
      <c r="C23">
        <v>1000</v>
      </c>
    </row>
    <row r="24" spans="1:5" x14ac:dyDescent="0.3">
      <c r="A24" s="2" t="s">
        <v>29</v>
      </c>
      <c r="C24">
        <v>550</v>
      </c>
    </row>
    <row r="25" spans="1:5" x14ac:dyDescent="0.3">
      <c r="A25" s="2" t="s">
        <v>30</v>
      </c>
      <c r="C25">
        <v>1100</v>
      </c>
    </row>
    <row r="26" spans="1:5" x14ac:dyDescent="0.3">
      <c r="A26" s="2" t="s">
        <v>10</v>
      </c>
      <c r="C26">
        <v>12000</v>
      </c>
    </row>
    <row r="27" spans="1:5" x14ac:dyDescent="0.3">
      <c r="A27" s="2" t="s">
        <v>31</v>
      </c>
      <c r="C27">
        <v>1100</v>
      </c>
    </row>
    <row r="28" spans="1:5" x14ac:dyDescent="0.3">
      <c r="A28" s="3" t="s">
        <v>396</v>
      </c>
      <c r="B28" s="1"/>
      <c r="C28" s="1"/>
      <c r="D28" s="1"/>
      <c r="E28" s="1"/>
    </row>
    <row r="29" spans="1:5" x14ac:dyDescent="0.3">
      <c r="A29" s="2" t="s">
        <v>32</v>
      </c>
      <c r="C29">
        <v>700</v>
      </c>
    </row>
    <row r="30" spans="1:5" x14ac:dyDescent="0.3">
      <c r="A30" s="2" t="s">
        <v>33</v>
      </c>
      <c r="C30">
        <v>570</v>
      </c>
    </row>
    <row r="31" spans="1:5" x14ac:dyDescent="0.3">
      <c r="A31" s="2" t="s">
        <v>34</v>
      </c>
      <c r="C31">
        <v>890</v>
      </c>
    </row>
    <row r="32" spans="1:5" x14ac:dyDescent="0.3">
      <c r="A32" s="2" t="s">
        <v>35</v>
      </c>
      <c r="C32">
        <v>880</v>
      </c>
    </row>
    <row r="33" spans="1:5" x14ac:dyDescent="0.3">
      <c r="A33" s="2" t="s">
        <v>36</v>
      </c>
      <c r="C33">
        <v>3750</v>
      </c>
    </row>
    <row r="34" spans="1:5" x14ac:dyDescent="0.3">
      <c r="A34" s="2" t="s">
        <v>37</v>
      </c>
      <c r="C34">
        <v>520</v>
      </c>
    </row>
    <row r="35" spans="1:5" x14ac:dyDescent="0.3">
      <c r="A35" s="2" t="s">
        <v>38</v>
      </c>
      <c r="C35">
        <v>300</v>
      </c>
    </row>
    <row r="36" spans="1:5" x14ac:dyDescent="0.3">
      <c r="A36" s="2" t="s">
        <v>39</v>
      </c>
      <c r="C36">
        <v>500</v>
      </c>
    </row>
    <row r="37" spans="1:5" x14ac:dyDescent="0.3">
      <c r="A37" s="2" t="s">
        <v>16</v>
      </c>
      <c r="B37">
        <v>455</v>
      </c>
    </row>
    <row r="38" spans="1:5" x14ac:dyDescent="0.3">
      <c r="A38" s="2" t="s">
        <v>42</v>
      </c>
      <c r="C38">
        <v>2661</v>
      </c>
    </row>
    <row r="39" spans="1:5" x14ac:dyDescent="0.3">
      <c r="A39" s="2" t="s">
        <v>41</v>
      </c>
      <c r="B39">
        <v>43</v>
      </c>
    </row>
    <row r="40" spans="1:5" x14ac:dyDescent="0.3">
      <c r="A40" s="3" t="s">
        <v>397</v>
      </c>
      <c r="B40" s="1"/>
      <c r="C40" s="1"/>
      <c r="D40" s="1"/>
      <c r="E40" s="1"/>
    </row>
    <row r="41" spans="1:5" x14ac:dyDescent="0.3">
      <c r="A41" s="2" t="s">
        <v>40</v>
      </c>
      <c r="B41">
        <v>34</v>
      </c>
    </row>
    <row r="42" spans="1:5" x14ac:dyDescent="0.3">
      <c r="A42" s="2" t="s">
        <v>43</v>
      </c>
      <c r="C42">
        <v>2420</v>
      </c>
    </row>
    <row r="43" spans="1:5" x14ac:dyDescent="0.3">
      <c r="A43" s="2" t="s">
        <v>44</v>
      </c>
      <c r="C43">
        <v>340</v>
      </c>
    </row>
    <row r="44" spans="1:5" x14ac:dyDescent="0.3">
      <c r="A44" s="2" t="s">
        <v>45</v>
      </c>
      <c r="C44">
        <v>500</v>
      </c>
    </row>
    <row r="45" spans="1:5" x14ac:dyDescent="0.3">
      <c r="A45" s="2" t="s">
        <v>16</v>
      </c>
      <c r="B45">
        <v>228</v>
      </c>
    </row>
    <row r="46" spans="1:5" x14ac:dyDescent="0.3">
      <c r="A46" s="6" t="s">
        <v>6</v>
      </c>
      <c r="C46">
        <v>4950</v>
      </c>
    </row>
    <row r="47" spans="1:5" x14ac:dyDescent="0.3">
      <c r="A47" s="2" t="s">
        <v>9</v>
      </c>
      <c r="C47">
        <v>9075</v>
      </c>
    </row>
    <row r="48" spans="1:5" x14ac:dyDescent="0.3">
      <c r="A48" s="2" t="s">
        <v>64</v>
      </c>
      <c r="C48">
        <v>400</v>
      </c>
    </row>
    <row r="49" spans="1:5" x14ac:dyDescent="0.3">
      <c r="A49" s="3" t="s">
        <v>398</v>
      </c>
      <c r="B49" s="1"/>
      <c r="C49" s="1"/>
      <c r="D49" s="1"/>
      <c r="E49" s="1"/>
    </row>
    <row r="50" spans="1:5" x14ac:dyDescent="0.3">
      <c r="A50" s="2" t="s">
        <v>46</v>
      </c>
      <c r="C50">
        <v>400</v>
      </c>
    </row>
    <row r="51" spans="1:5" x14ac:dyDescent="0.3">
      <c r="A51" s="2" t="s">
        <v>48</v>
      </c>
      <c r="C51">
        <v>100</v>
      </c>
    </row>
    <row r="52" spans="1:5" x14ac:dyDescent="0.3">
      <c r="A52" s="2" t="s">
        <v>49</v>
      </c>
      <c r="C52">
        <v>1930</v>
      </c>
    </row>
    <row r="53" spans="1:5" x14ac:dyDescent="0.3">
      <c r="A53" s="2" t="s">
        <v>50</v>
      </c>
      <c r="C53">
        <v>500</v>
      </c>
    </row>
    <row r="54" spans="1:5" x14ac:dyDescent="0.3">
      <c r="A54" s="2" t="s">
        <v>52</v>
      </c>
      <c r="C54">
        <v>1700</v>
      </c>
    </row>
    <row r="55" spans="1:5" x14ac:dyDescent="0.3">
      <c r="A55" s="2" t="s">
        <v>53</v>
      </c>
      <c r="C55">
        <v>445</v>
      </c>
    </row>
    <row r="56" spans="1:5" x14ac:dyDescent="0.3">
      <c r="A56" s="2" t="s">
        <v>54</v>
      </c>
      <c r="C56">
        <v>700</v>
      </c>
    </row>
    <row r="57" spans="1:5" x14ac:dyDescent="0.3">
      <c r="A57" s="2" t="s">
        <v>55</v>
      </c>
      <c r="C57">
        <v>445</v>
      </c>
    </row>
    <row r="58" spans="1:5" x14ac:dyDescent="0.3">
      <c r="A58" s="2" t="s">
        <v>56</v>
      </c>
      <c r="C58">
        <v>249</v>
      </c>
    </row>
    <row r="59" spans="1:5" x14ac:dyDescent="0.3">
      <c r="A59" s="2" t="s">
        <v>57</v>
      </c>
      <c r="C59">
        <v>646</v>
      </c>
    </row>
    <row r="60" spans="1:5" x14ac:dyDescent="0.3">
      <c r="A60" s="2" t="s">
        <v>51</v>
      </c>
      <c r="C60">
        <v>2570</v>
      </c>
    </row>
    <row r="62" spans="1:5" x14ac:dyDescent="0.3">
      <c r="A62" s="3" t="s">
        <v>12</v>
      </c>
      <c r="B62" s="1"/>
      <c r="C62" s="1"/>
      <c r="D62" s="1"/>
      <c r="E62" s="1"/>
    </row>
    <row r="63" spans="1:5" x14ac:dyDescent="0.3">
      <c r="A63" s="6" t="s">
        <v>7</v>
      </c>
      <c r="C63">
        <v>4330</v>
      </c>
    </row>
    <row r="64" spans="1:5" x14ac:dyDescent="0.3">
      <c r="A64" s="2" t="s">
        <v>8</v>
      </c>
      <c r="C64">
        <v>4190</v>
      </c>
    </row>
    <row r="65" spans="1:3" x14ac:dyDescent="0.3">
      <c r="A65" s="2" t="s">
        <v>47</v>
      </c>
      <c r="C65">
        <v>332</v>
      </c>
    </row>
    <row r="66" spans="1:3" x14ac:dyDescent="0.3">
      <c r="A66" s="2" t="s">
        <v>58</v>
      </c>
      <c r="C66">
        <v>2593</v>
      </c>
    </row>
    <row r="67" spans="1:3" x14ac:dyDescent="0.3">
      <c r="A67" s="2" t="s">
        <v>59</v>
      </c>
      <c r="C67">
        <v>6330</v>
      </c>
    </row>
    <row r="68" spans="1:3" x14ac:dyDescent="0.3">
      <c r="A68" s="2" t="s">
        <v>60</v>
      </c>
      <c r="C68">
        <v>2152</v>
      </c>
    </row>
    <row r="69" spans="1:3" x14ac:dyDescent="0.3">
      <c r="A69" s="2" t="s">
        <v>61</v>
      </c>
      <c r="C69">
        <v>1436</v>
      </c>
    </row>
    <row r="70" spans="1:3" x14ac:dyDescent="0.3">
      <c r="A70" s="2" t="s">
        <v>62</v>
      </c>
      <c r="C70">
        <v>860</v>
      </c>
    </row>
    <row r="71" spans="1:3" x14ac:dyDescent="0.3">
      <c r="A71" s="2" t="s">
        <v>63</v>
      </c>
      <c r="C71">
        <v>5980</v>
      </c>
    </row>
    <row r="72" spans="1:3" x14ac:dyDescent="0.3">
      <c r="A72" s="2" t="s">
        <v>63</v>
      </c>
      <c r="C72">
        <v>5819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7E57-E004-4F69-BE62-5A508F5B9C75}">
  <dimension ref="A1:I108"/>
  <sheetViews>
    <sheetView topLeftCell="A17" workbookViewId="0">
      <selection activeCell="C81" sqref="C81"/>
    </sheetView>
  </sheetViews>
  <sheetFormatPr defaultRowHeight="16.2" x14ac:dyDescent="0.3"/>
  <cols>
    <col min="1" max="1" width="30.109375" bestFit="1" customWidth="1"/>
    <col min="2" max="3" width="6.44140625" bestFit="1" customWidth="1"/>
    <col min="4" max="4" width="41.6640625" bestFit="1" customWidth="1"/>
    <col min="5" max="5" width="11.109375" bestFit="1" customWidth="1"/>
    <col min="6" max="6" width="10.44140625" bestFit="1" customWidth="1"/>
    <col min="7" max="7" width="11.109375" bestFit="1" customWidth="1"/>
    <col min="8" max="8" width="14.33203125" customWidth="1"/>
    <col min="9" max="9" width="11.109375" bestFit="1" customWidth="1"/>
  </cols>
  <sheetData>
    <row r="1" spans="1:9" x14ac:dyDescent="0.3">
      <c r="A1" s="2" t="s">
        <v>2</v>
      </c>
      <c r="B1" s="2" t="s">
        <v>0</v>
      </c>
      <c r="C1" s="2" t="s">
        <v>1</v>
      </c>
      <c r="D1" s="2" t="s">
        <v>71</v>
      </c>
      <c r="E1" s="2" t="s">
        <v>210</v>
      </c>
      <c r="H1" s="2" t="s">
        <v>0</v>
      </c>
      <c r="I1" s="2" t="s">
        <v>66</v>
      </c>
    </row>
    <row r="2" spans="1:9" x14ac:dyDescent="0.3">
      <c r="A2" s="2" t="s">
        <v>201</v>
      </c>
      <c r="B2" s="2">
        <v>61068</v>
      </c>
      <c r="C2" s="2"/>
      <c r="D2" s="2"/>
      <c r="E2" s="2" t="s">
        <v>209</v>
      </c>
      <c r="G2" s="2" t="s">
        <v>67</v>
      </c>
      <c r="H2">
        <f>SUM(B2:B160)+SUM(C2:C160)*0.21</f>
        <v>217500.78999999998</v>
      </c>
    </row>
    <row r="3" spans="1:9" x14ac:dyDescent="0.3">
      <c r="A3" s="2" t="s">
        <v>202</v>
      </c>
      <c r="B3" s="2">
        <v>45890</v>
      </c>
      <c r="C3" s="2"/>
      <c r="D3" s="2"/>
      <c r="E3" s="2" t="s">
        <v>215</v>
      </c>
      <c r="G3" s="2" t="s">
        <v>215</v>
      </c>
      <c r="H3" s="5">
        <f>B3</f>
        <v>45890</v>
      </c>
    </row>
    <row r="4" spans="1:9" x14ac:dyDescent="0.3">
      <c r="A4" s="3" t="s">
        <v>68</v>
      </c>
      <c r="B4" s="3"/>
      <c r="C4" s="3"/>
      <c r="D4" s="3"/>
      <c r="E4" s="3"/>
      <c r="G4" s="2" t="s">
        <v>209</v>
      </c>
      <c r="H4" s="5">
        <f>(B2+B74+B75+B80)+(C5+C25+C71+C98+C99)*0.21</f>
        <v>74043.8</v>
      </c>
    </row>
    <row r="5" spans="1:9" x14ac:dyDescent="0.3">
      <c r="A5" s="2" t="s">
        <v>184</v>
      </c>
      <c r="B5" s="2"/>
      <c r="C5" s="2">
        <v>10320</v>
      </c>
      <c r="D5" s="2" t="s">
        <v>72</v>
      </c>
      <c r="E5" s="2" t="s">
        <v>209</v>
      </c>
      <c r="G5" s="2" t="s">
        <v>211</v>
      </c>
      <c r="H5">
        <f>(C6+C7+C8+C12+C13+C14+C17+C18+C22+C23+C26+C27+C28+C29+C33+C35+C36+C37+C38+C39+C40+C41+C45+C46+C49+C50+C52+C53+C54+C59+C60+C61+C62+C63+C64+C65+C67+C68+C69+C70+C72+C81+C82+C83+C84+C85+C88+C90+C97)*0.21</f>
        <v>50562.33</v>
      </c>
    </row>
    <row r="6" spans="1:9" x14ac:dyDescent="0.3">
      <c r="A6" s="2" t="s">
        <v>70</v>
      </c>
      <c r="B6" s="2"/>
      <c r="C6" s="2">
        <v>1344</v>
      </c>
      <c r="D6" s="2"/>
      <c r="E6" s="2" t="s">
        <v>211</v>
      </c>
      <c r="G6" s="2" t="s">
        <v>191</v>
      </c>
      <c r="H6">
        <f>(C10+C11+C16+C19+C20+C21+C30+C31+C32+C42+C43+C44+C47+C48+C51+C58+C79+C87+C89+C91+C93+C94+C95+C96+C100)*0.21</f>
        <v>41293.56</v>
      </c>
    </row>
    <row r="7" spans="1:9" x14ac:dyDescent="0.3">
      <c r="A7" s="2" t="s">
        <v>19</v>
      </c>
      <c r="B7" s="2"/>
      <c r="C7" s="2">
        <v>28800</v>
      </c>
      <c r="D7" s="2" t="s">
        <v>207</v>
      </c>
      <c r="E7" s="2" t="s">
        <v>211</v>
      </c>
      <c r="G7" s="2" t="s">
        <v>194</v>
      </c>
      <c r="H7">
        <f>B66+(C15+C56+C57+C76+C77+C78)*0.21</f>
        <v>5711.1</v>
      </c>
    </row>
    <row r="8" spans="1:9" x14ac:dyDescent="0.3">
      <c r="A8" s="2" t="s">
        <v>73</v>
      </c>
      <c r="B8" s="2"/>
      <c r="C8" s="2">
        <v>3418</v>
      </c>
      <c r="D8" s="2" t="s">
        <v>212</v>
      </c>
      <c r="E8" s="2" t="s">
        <v>211</v>
      </c>
    </row>
    <row r="9" spans="1:9" x14ac:dyDescent="0.3">
      <c r="A9" s="3" t="s">
        <v>74</v>
      </c>
      <c r="B9" s="3"/>
      <c r="C9" s="3"/>
      <c r="D9" s="3"/>
      <c r="E9" s="3"/>
    </row>
    <row r="10" spans="1:9" x14ac:dyDescent="0.3">
      <c r="A10" s="2" t="s">
        <v>75</v>
      </c>
      <c r="B10" s="2"/>
      <c r="C10" s="2">
        <v>5400</v>
      </c>
      <c r="D10" s="2" t="s">
        <v>203</v>
      </c>
      <c r="E10" s="2" t="s">
        <v>191</v>
      </c>
    </row>
    <row r="11" spans="1:9" x14ac:dyDescent="0.3">
      <c r="A11" s="2" t="s">
        <v>75</v>
      </c>
      <c r="B11" s="2"/>
      <c r="C11" s="2">
        <v>1400</v>
      </c>
      <c r="D11" s="2" t="s">
        <v>204</v>
      </c>
      <c r="E11" s="2" t="s">
        <v>191</v>
      </c>
    </row>
    <row r="12" spans="1:9" x14ac:dyDescent="0.3">
      <c r="A12" s="2" t="s">
        <v>76</v>
      </c>
      <c r="B12" s="2"/>
      <c r="C12" s="2">
        <v>4200</v>
      </c>
      <c r="D12" s="2"/>
      <c r="E12" s="2" t="s">
        <v>211</v>
      </c>
    </row>
    <row r="13" spans="1:9" x14ac:dyDescent="0.3">
      <c r="A13" s="2" t="s">
        <v>81</v>
      </c>
      <c r="B13" s="2"/>
      <c r="C13" s="2">
        <v>1296</v>
      </c>
      <c r="D13" s="2" t="s">
        <v>205</v>
      </c>
      <c r="E13" s="2" t="s">
        <v>211</v>
      </c>
    </row>
    <row r="14" spans="1:9" x14ac:dyDescent="0.3">
      <c r="A14" s="2" t="s">
        <v>81</v>
      </c>
      <c r="B14" s="2"/>
      <c r="C14" s="2">
        <v>640</v>
      </c>
      <c r="D14" s="2" t="s">
        <v>82</v>
      </c>
      <c r="E14" s="2" t="s">
        <v>211</v>
      </c>
    </row>
    <row r="15" spans="1:9" x14ac:dyDescent="0.3">
      <c r="A15" s="2" t="s">
        <v>85</v>
      </c>
      <c r="B15" s="2"/>
      <c r="C15" s="2">
        <v>2000</v>
      </c>
      <c r="D15" s="2" t="s">
        <v>206</v>
      </c>
      <c r="E15" s="2" t="s">
        <v>194</v>
      </c>
    </row>
    <row r="16" spans="1:9" x14ac:dyDescent="0.3">
      <c r="A16" s="2" t="s">
        <v>77</v>
      </c>
      <c r="B16" s="2"/>
      <c r="C16" s="2">
        <v>5802</v>
      </c>
      <c r="D16" s="2"/>
      <c r="E16" s="2" t="s">
        <v>191</v>
      </c>
    </row>
    <row r="17" spans="1:5" x14ac:dyDescent="0.3">
      <c r="A17" s="2" t="s">
        <v>78</v>
      </c>
      <c r="B17" s="2"/>
      <c r="C17" s="2">
        <v>755</v>
      </c>
      <c r="D17" s="2"/>
      <c r="E17" s="2" t="s">
        <v>211</v>
      </c>
    </row>
    <row r="18" spans="1:5" x14ac:dyDescent="0.3">
      <c r="A18" s="2" t="s">
        <v>79</v>
      </c>
      <c r="B18" s="2"/>
      <c r="C18" s="2">
        <v>3960</v>
      </c>
      <c r="D18" s="2" t="s">
        <v>86</v>
      </c>
      <c r="E18" s="2" t="s">
        <v>211</v>
      </c>
    </row>
    <row r="19" spans="1:5" x14ac:dyDescent="0.3">
      <c r="A19" s="2" t="s">
        <v>87</v>
      </c>
      <c r="B19" s="2"/>
      <c r="C19" s="2">
        <v>21010</v>
      </c>
      <c r="D19" s="2"/>
      <c r="E19" s="2" t="s">
        <v>191</v>
      </c>
    </row>
    <row r="20" spans="1:5" x14ac:dyDescent="0.3">
      <c r="A20" s="2" t="s">
        <v>91</v>
      </c>
      <c r="B20" s="2"/>
      <c r="C20" s="2">
        <v>20061</v>
      </c>
      <c r="D20" s="2"/>
      <c r="E20" s="2" t="s">
        <v>191</v>
      </c>
    </row>
    <row r="21" spans="1:5" x14ac:dyDescent="0.3">
      <c r="A21" s="2" t="s">
        <v>80</v>
      </c>
      <c r="B21" s="2"/>
      <c r="C21" s="2">
        <v>16029</v>
      </c>
      <c r="D21" s="2"/>
      <c r="E21" s="2" t="s">
        <v>191</v>
      </c>
    </row>
    <row r="22" spans="1:5" x14ac:dyDescent="0.3">
      <c r="A22" s="2" t="s">
        <v>90</v>
      </c>
      <c r="B22" s="2"/>
      <c r="C22" s="2">
        <v>939</v>
      </c>
      <c r="D22" s="2" t="s">
        <v>89</v>
      </c>
      <c r="E22" s="2" t="s">
        <v>211</v>
      </c>
    </row>
    <row r="23" spans="1:5" x14ac:dyDescent="0.3">
      <c r="A23" s="2" t="s">
        <v>93</v>
      </c>
      <c r="B23" s="2"/>
      <c r="C23" s="2">
        <v>5200</v>
      </c>
      <c r="D23" s="2" t="s">
        <v>92</v>
      </c>
      <c r="E23" s="2" t="s">
        <v>211</v>
      </c>
    </row>
    <row r="24" spans="1:5" x14ac:dyDescent="0.3">
      <c r="A24" s="3" t="s">
        <v>94</v>
      </c>
      <c r="B24" s="3"/>
      <c r="C24" s="3"/>
      <c r="D24" s="3"/>
      <c r="E24" s="3"/>
    </row>
    <row r="25" spans="1:5" x14ac:dyDescent="0.3">
      <c r="A25" s="2" t="s">
        <v>100</v>
      </c>
      <c r="B25" s="2"/>
      <c r="C25" s="2">
        <v>4200</v>
      </c>
      <c r="D25" s="2" t="s">
        <v>84</v>
      </c>
      <c r="E25" s="2" t="s">
        <v>209</v>
      </c>
    </row>
    <row r="26" spans="1:5" x14ac:dyDescent="0.3">
      <c r="A26" s="2" t="s">
        <v>101</v>
      </c>
      <c r="B26" s="2"/>
      <c r="C26" s="2">
        <v>28500</v>
      </c>
      <c r="D26" s="2" t="s">
        <v>102</v>
      </c>
      <c r="E26" s="2" t="s">
        <v>211</v>
      </c>
    </row>
    <row r="27" spans="1:5" x14ac:dyDescent="0.3">
      <c r="A27" s="2" t="s">
        <v>103</v>
      </c>
      <c r="B27" s="2"/>
      <c r="C27" s="2">
        <v>400</v>
      </c>
      <c r="D27" s="2"/>
      <c r="E27" s="2" t="s">
        <v>211</v>
      </c>
    </row>
    <row r="28" spans="1:5" x14ac:dyDescent="0.3">
      <c r="A28" s="2" t="s">
        <v>104</v>
      </c>
      <c r="B28" s="2"/>
      <c r="C28" s="2">
        <v>1100</v>
      </c>
      <c r="D28" s="2"/>
      <c r="E28" s="2" t="s">
        <v>211</v>
      </c>
    </row>
    <row r="29" spans="1:5" x14ac:dyDescent="0.3">
      <c r="A29" s="2" t="s">
        <v>105</v>
      </c>
      <c r="B29" s="2"/>
      <c r="C29" s="2">
        <v>270</v>
      </c>
      <c r="D29" s="2"/>
      <c r="E29" s="2" t="s">
        <v>211</v>
      </c>
    </row>
    <row r="30" spans="1:5" x14ac:dyDescent="0.3">
      <c r="A30" s="2" t="s">
        <v>108</v>
      </c>
      <c r="B30" s="2"/>
      <c r="C30" s="2">
        <v>6346</v>
      </c>
      <c r="D30" s="2" t="s">
        <v>106</v>
      </c>
      <c r="E30" s="2" t="s">
        <v>191</v>
      </c>
    </row>
    <row r="31" spans="1:5" x14ac:dyDescent="0.3">
      <c r="A31" s="2" t="s">
        <v>108</v>
      </c>
      <c r="B31" s="2"/>
      <c r="C31" s="2">
        <v>10882</v>
      </c>
      <c r="D31" s="2" t="s">
        <v>107</v>
      </c>
      <c r="E31" s="2" t="s">
        <v>191</v>
      </c>
    </row>
    <row r="32" spans="1:5" x14ac:dyDescent="0.3">
      <c r="A32" s="2" t="s">
        <v>182</v>
      </c>
      <c r="B32" s="2"/>
      <c r="C32" s="2">
        <v>11881</v>
      </c>
      <c r="D32" s="2" t="s">
        <v>109</v>
      </c>
      <c r="E32" s="2" t="s">
        <v>191</v>
      </c>
    </row>
    <row r="33" spans="1:5" x14ac:dyDescent="0.3">
      <c r="A33" s="2" t="s">
        <v>110</v>
      </c>
      <c r="B33" s="2"/>
      <c r="C33" s="2">
        <v>16850</v>
      </c>
      <c r="D33" s="2"/>
      <c r="E33" s="2" t="s">
        <v>211</v>
      </c>
    </row>
    <row r="34" spans="1:5" x14ac:dyDescent="0.3">
      <c r="A34" s="3" t="s">
        <v>95</v>
      </c>
      <c r="B34" s="3"/>
      <c r="C34" s="3"/>
      <c r="D34" s="3"/>
      <c r="E34" s="3"/>
    </row>
    <row r="35" spans="1:5" x14ac:dyDescent="0.3">
      <c r="A35" s="2" t="s">
        <v>111</v>
      </c>
      <c r="B35" s="2"/>
      <c r="C35" s="2">
        <v>25520</v>
      </c>
      <c r="D35" s="2" t="s">
        <v>112</v>
      </c>
      <c r="E35" s="2" t="s">
        <v>211</v>
      </c>
    </row>
    <row r="36" spans="1:5" x14ac:dyDescent="0.3">
      <c r="A36" s="2" t="s">
        <v>113</v>
      </c>
      <c r="B36" s="2"/>
      <c r="C36" s="2">
        <v>390</v>
      </c>
      <c r="D36" s="2"/>
      <c r="E36" s="2" t="s">
        <v>211</v>
      </c>
    </row>
    <row r="37" spans="1:5" x14ac:dyDescent="0.3">
      <c r="A37" s="2" t="s">
        <v>114</v>
      </c>
      <c r="B37" s="2"/>
      <c r="C37" s="2">
        <v>1080</v>
      </c>
      <c r="D37" s="2"/>
      <c r="E37" s="2" t="s">
        <v>211</v>
      </c>
    </row>
    <row r="38" spans="1:5" x14ac:dyDescent="0.3">
      <c r="A38" s="2" t="s">
        <v>113</v>
      </c>
      <c r="B38" s="2"/>
      <c r="C38" s="2">
        <v>780</v>
      </c>
      <c r="D38" s="2"/>
      <c r="E38" s="2" t="s">
        <v>211</v>
      </c>
    </row>
    <row r="39" spans="1:5" x14ac:dyDescent="0.3">
      <c r="A39" s="2" t="s">
        <v>114</v>
      </c>
      <c r="B39" s="2"/>
      <c r="C39" s="2">
        <v>1530</v>
      </c>
      <c r="D39" s="2"/>
      <c r="E39" s="2" t="s">
        <v>211</v>
      </c>
    </row>
    <row r="40" spans="1:5" x14ac:dyDescent="0.3">
      <c r="A40" s="2" t="s">
        <v>115</v>
      </c>
      <c r="B40" s="2"/>
      <c r="C40" s="2">
        <v>656</v>
      </c>
      <c r="D40" s="2" t="s">
        <v>116</v>
      </c>
      <c r="E40" s="2" t="s">
        <v>211</v>
      </c>
    </row>
    <row r="41" spans="1:5" x14ac:dyDescent="0.3">
      <c r="A41" s="2" t="s">
        <v>117</v>
      </c>
      <c r="B41" s="2"/>
      <c r="C41" s="2">
        <v>800</v>
      </c>
      <c r="D41" s="2" t="s">
        <v>118</v>
      </c>
      <c r="E41" s="2" t="s">
        <v>211</v>
      </c>
    </row>
    <row r="42" spans="1:5" x14ac:dyDescent="0.3">
      <c r="A42" s="2" t="s">
        <v>119</v>
      </c>
      <c r="B42" s="2"/>
      <c r="C42" s="2">
        <v>800</v>
      </c>
      <c r="D42" s="2"/>
      <c r="E42" s="2" t="s">
        <v>191</v>
      </c>
    </row>
    <row r="43" spans="1:5" x14ac:dyDescent="0.3">
      <c r="A43" s="2" t="s">
        <v>120</v>
      </c>
      <c r="B43" s="2"/>
      <c r="C43" s="2">
        <v>5556</v>
      </c>
      <c r="D43" s="2" t="s">
        <v>121</v>
      </c>
      <c r="E43" s="2" t="s">
        <v>191</v>
      </c>
    </row>
    <row r="44" spans="1:5" x14ac:dyDescent="0.3">
      <c r="A44" s="2" t="s">
        <v>122</v>
      </c>
      <c r="B44" s="2"/>
      <c r="C44" s="2">
        <v>3780</v>
      </c>
      <c r="D44" s="2" t="s">
        <v>123</v>
      </c>
      <c r="E44" s="2" t="s">
        <v>191</v>
      </c>
    </row>
    <row r="45" spans="1:5" x14ac:dyDescent="0.3">
      <c r="A45" s="2" t="s">
        <v>124</v>
      </c>
      <c r="B45" s="2"/>
      <c r="C45" s="2">
        <v>3000</v>
      </c>
      <c r="D45" s="2" t="s">
        <v>125</v>
      </c>
      <c r="E45" s="2" t="s">
        <v>211</v>
      </c>
    </row>
    <row r="46" spans="1:5" x14ac:dyDescent="0.3">
      <c r="A46" s="2" t="s">
        <v>126</v>
      </c>
      <c r="B46" s="2"/>
      <c r="C46" s="2">
        <v>730</v>
      </c>
      <c r="D46" s="2" t="s">
        <v>127</v>
      </c>
      <c r="E46" s="2" t="s">
        <v>211</v>
      </c>
    </row>
    <row r="47" spans="1:5" x14ac:dyDescent="0.3">
      <c r="A47" s="2" t="s">
        <v>128</v>
      </c>
      <c r="B47" s="2"/>
      <c r="C47" s="2">
        <v>550</v>
      </c>
      <c r="D47" s="2" t="s">
        <v>129</v>
      </c>
      <c r="E47" s="2" t="s">
        <v>191</v>
      </c>
    </row>
    <row r="48" spans="1:5" x14ac:dyDescent="0.3">
      <c r="A48" s="2" t="s">
        <v>130</v>
      </c>
      <c r="B48" s="2"/>
      <c r="C48" s="2">
        <v>2592</v>
      </c>
      <c r="D48" s="2" t="s">
        <v>133</v>
      </c>
      <c r="E48" s="2" t="s">
        <v>191</v>
      </c>
    </row>
    <row r="49" spans="1:5" x14ac:dyDescent="0.3">
      <c r="A49" s="2" t="s">
        <v>79</v>
      </c>
      <c r="B49" s="2"/>
      <c r="C49" s="2">
        <v>5900</v>
      </c>
      <c r="D49" s="2" t="s">
        <v>134</v>
      </c>
      <c r="E49" s="2" t="s">
        <v>211</v>
      </c>
    </row>
    <row r="50" spans="1:5" x14ac:dyDescent="0.3">
      <c r="A50" s="2" t="s">
        <v>131</v>
      </c>
      <c r="B50" s="2"/>
      <c r="C50" s="2">
        <v>6160</v>
      </c>
      <c r="D50" s="2" t="s">
        <v>135</v>
      </c>
      <c r="E50" s="2" t="s">
        <v>211</v>
      </c>
    </row>
    <row r="51" spans="1:5" x14ac:dyDescent="0.3">
      <c r="A51" s="2" t="s">
        <v>132</v>
      </c>
      <c r="B51" s="2"/>
      <c r="C51" s="2">
        <v>4603</v>
      </c>
      <c r="D51" s="2" t="s">
        <v>136</v>
      </c>
      <c r="E51" s="2" t="s">
        <v>191</v>
      </c>
    </row>
    <row r="52" spans="1:5" x14ac:dyDescent="0.3">
      <c r="A52" s="2" t="s">
        <v>132</v>
      </c>
      <c r="B52" s="2"/>
      <c r="C52" s="2">
        <v>322</v>
      </c>
      <c r="D52" s="2" t="s">
        <v>137</v>
      </c>
      <c r="E52" s="2" t="s">
        <v>211</v>
      </c>
    </row>
    <row r="53" spans="1:5" x14ac:dyDescent="0.3">
      <c r="A53" s="2" t="s">
        <v>73</v>
      </c>
      <c r="B53" s="2"/>
      <c r="C53" s="2">
        <v>1745</v>
      </c>
      <c r="D53" s="2" t="s">
        <v>138</v>
      </c>
      <c r="E53" s="2" t="s">
        <v>211</v>
      </c>
    </row>
    <row r="54" spans="1:5" x14ac:dyDescent="0.3">
      <c r="A54" s="2" t="s">
        <v>126</v>
      </c>
      <c r="B54" s="2"/>
      <c r="C54" s="2">
        <v>1369</v>
      </c>
      <c r="D54" s="2" t="s">
        <v>139</v>
      </c>
      <c r="E54" s="2" t="s">
        <v>211</v>
      </c>
    </row>
    <row r="55" spans="1:5" x14ac:dyDescent="0.3">
      <c r="A55" s="3" t="s">
        <v>96</v>
      </c>
      <c r="B55" s="3"/>
      <c r="C55" s="3"/>
      <c r="D55" s="3"/>
      <c r="E55" s="3"/>
    </row>
    <row r="56" spans="1:5" x14ac:dyDescent="0.3">
      <c r="A56" s="2" t="s">
        <v>140</v>
      </c>
      <c r="B56" s="2"/>
      <c r="C56" s="2">
        <v>10</v>
      </c>
      <c r="D56" s="2"/>
      <c r="E56" s="2" t="s">
        <v>194</v>
      </c>
    </row>
    <row r="57" spans="1:5" x14ac:dyDescent="0.3">
      <c r="A57" s="2" t="s">
        <v>141</v>
      </c>
      <c r="B57" s="2"/>
      <c r="C57" s="2">
        <v>100</v>
      </c>
      <c r="D57" s="2"/>
      <c r="E57" s="2" t="s">
        <v>194</v>
      </c>
    </row>
    <row r="58" spans="1:5" x14ac:dyDescent="0.3">
      <c r="A58" s="2" t="s">
        <v>142</v>
      </c>
      <c r="B58" s="2"/>
      <c r="C58" s="2">
        <v>1000</v>
      </c>
      <c r="D58" s="2" t="s">
        <v>143</v>
      </c>
      <c r="E58" s="2" t="s">
        <v>191</v>
      </c>
    </row>
    <row r="59" spans="1:5" x14ac:dyDescent="0.3">
      <c r="A59" s="2" t="s">
        <v>144</v>
      </c>
      <c r="B59" s="2"/>
      <c r="C59" s="2">
        <v>1200</v>
      </c>
      <c r="D59" s="2"/>
      <c r="E59" s="2" t="s">
        <v>211</v>
      </c>
    </row>
    <row r="60" spans="1:5" x14ac:dyDescent="0.3">
      <c r="A60" s="2" t="s">
        <v>145</v>
      </c>
      <c r="B60" s="2"/>
      <c r="C60" s="2">
        <v>2800</v>
      </c>
      <c r="D60" s="2" t="s">
        <v>146</v>
      </c>
      <c r="E60" s="2" t="s">
        <v>211</v>
      </c>
    </row>
    <row r="61" spans="1:5" x14ac:dyDescent="0.3">
      <c r="A61" s="2" t="s">
        <v>147</v>
      </c>
      <c r="B61" s="2"/>
      <c r="C61" s="2">
        <v>840</v>
      </c>
      <c r="D61" s="2" t="s">
        <v>152</v>
      </c>
      <c r="E61" s="2" t="s">
        <v>211</v>
      </c>
    </row>
    <row r="62" spans="1:5" x14ac:dyDescent="0.3">
      <c r="A62" s="2" t="s">
        <v>148</v>
      </c>
      <c r="B62" s="2"/>
      <c r="C62" s="2">
        <v>400</v>
      </c>
      <c r="D62" s="2" t="s">
        <v>153</v>
      </c>
      <c r="E62" s="2" t="s">
        <v>211</v>
      </c>
    </row>
    <row r="63" spans="1:5" x14ac:dyDescent="0.3">
      <c r="A63" s="2" t="s">
        <v>149</v>
      </c>
      <c r="B63" s="2"/>
      <c r="C63" s="2">
        <v>26000</v>
      </c>
      <c r="D63" s="2" t="s">
        <v>154</v>
      </c>
      <c r="E63" s="2" t="s">
        <v>211</v>
      </c>
    </row>
    <row r="64" spans="1:5" x14ac:dyDescent="0.3">
      <c r="A64" s="2" t="s">
        <v>150</v>
      </c>
      <c r="B64" s="2"/>
      <c r="C64" s="2">
        <v>1920</v>
      </c>
      <c r="D64" s="2" t="s">
        <v>151</v>
      </c>
      <c r="E64" s="2" t="s">
        <v>211</v>
      </c>
    </row>
    <row r="65" spans="1:5" x14ac:dyDescent="0.3">
      <c r="A65" s="2" t="s">
        <v>156</v>
      </c>
      <c r="B65" s="2"/>
      <c r="C65" s="2">
        <v>179</v>
      </c>
      <c r="D65" s="2" t="s">
        <v>155</v>
      </c>
      <c r="E65" s="2" t="s">
        <v>211</v>
      </c>
    </row>
    <row r="66" spans="1:5" x14ac:dyDescent="0.3">
      <c r="A66" s="2" t="s">
        <v>193</v>
      </c>
      <c r="B66" s="2">
        <v>2244</v>
      </c>
      <c r="C66" s="2"/>
      <c r="D66" s="2" t="s">
        <v>167</v>
      </c>
      <c r="E66" s="2" t="s">
        <v>194</v>
      </c>
    </row>
    <row r="67" spans="1:5" x14ac:dyDescent="0.3">
      <c r="A67" s="2" t="s">
        <v>192</v>
      </c>
      <c r="B67" s="2"/>
      <c r="C67" s="2">
        <v>920</v>
      </c>
      <c r="D67" s="2" t="s">
        <v>158</v>
      </c>
      <c r="E67" s="2" t="s">
        <v>211</v>
      </c>
    </row>
    <row r="68" spans="1:5" x14ac:dyDescent="0.3">
      <c r="A68" s="2" t="s">
        <v>157</v>
      </c>
      <c r="B68" s="2"/>
      <c r="C68" s="2">
        <v>500</v>
      </c>
      <c r="D68" s="2" t="s">
        <v>159</v>
      </c>
      <c r="E68" s="2" t="s">
        <v>211</v>
      </c>
    </row>
    <row r="69" spans="1:5" x14ac:dyDescent="0.3">
      <c r="A69" s="2" t="s">
        <v>157</v>
      </c>
      <c r="B69" s="2"/>
      <c r="C69" s="2">
        <v>1215</v>
      </c>
      <c r="D69" s="2" t="s">
        <v>160</v>
      </c>
      <c r="E69" s="2" t="s">
        <v>211</v>
      </c>
    </row>
    <row r="70" spans="1:5" x14ac:dyDescent="0.3">
      <c r="A70" s="2" t="s">
        <v>161</v>
      </c>
      <c r="B70" s="2"/>
      <c r="C70" s="2">
        <v>4000</v>
      </c>
      <c r="D70" s="2" t="s">
        <v>162</v>
      </c>
      <c r="E70" s="2" t="s">
        <v>211</v>
      </c>
    </row>
    <row r="71" spans="1:5" x14ac:dyDescent="0.3">
      <c r="A71" s="2" t="s">
        <v>164</v>
      </c>
      <c r="B71" s="2"/>
      <c r="C71" s="2">
        <v>3340</v>
      </c>
      <c r="D71" s="2" t="s">
        <v>163</v>
      </c>
      <c r="E71" s="2" t="s">
        <v>209</v>
      </c>
    </row>
    <row r="72" spans="1:5" x14ac:dyDescent="0.3">
      <c r="A72" s="2" t="s">
        <v>165</v>
      </c>
      <c r="B72" s="2"/>
      <c r="C72" s="2">
        <v>1383</v>
      </c>
      <c r="D72" s="2" t="s">
        <v>88</v>
      </c>
      <c r="E72" s="2" t="s">
        <v>211</v>
      </c>
    </row>
    <row r="73" spans="1:5" x14ac:dyDescent="0.3">
      <c r="A73" s="3" t="s">
        <v>97</v>
      </c>
      <c r="B73" s="3"/>
      <c r="C73" s="3"/>
      <c r="D73" s="3"/>
      <c r="E73" s="3"/>
    </row>
    <row r="74" spans="1:5" x14ac:dyDescent="0.3">
      <c r="A74" s="2" t="s">
        <v>197</v>
      </c>
      <c r="B74" s="2">
        <v>2096</v>
      </c>
      <c r="C74" s="2"/>
      <c r="D74" s="2" t="s">
        <v>195</v>
      </c>
      <c r="E74" s="2" t="s">
        <v>209</v>
      </c>
    </row>
    <row r="75" spans="1:5" x14ac:dyDescent="0.3">
      <c r="A75" s="2" t="s">
        <v>198</v>
      </c>
      <c r="B75" s="2">
        <v>1788</v>
      </c>
      <c r="C75" s="2"/>
      <c r="D75" s="2" t="s">
        <v>83</v>
      </c>
      <c r="E75" s="2" t="s">
        <v>209</v>
      </c>
    </row>
    <row r="76" spans="1:5" x14ac:dyDescent="0.3">
      <c r="A76" s="2" t="s">
        <v>166</v>
      </c>
      <c r="B76" s="2"/>
      <c r="C76" s="2">
        <v>3600</v>
      </c>
      <c r="D76" s="2" t="s">
        <v>167</v>
      </c>
      <c r="E76" s="2" t="s">
        <v>194</v>
      </c>
    </row>
    <row r="77" spans="1:5" x14ac:dyDescent="0.3">
      <c r="A77" s="2" t="s">
        <v>168</v>
      </c>
      <c r="B77" s="2"/>
      <c r="C77" s="2">
        <v>1200</v>
      </c>
      <c r="D77" s="2" t="s">
        <v>167</v>
      </c>
      <c r="E77" s="2" t="s">
        <v>194</v>
      </c>
    </row>
    <row r="78" spans="1:5" x14ac:dyDescent="0.3">
      <c r="A78" s="2" t="s">
        <v>169</v>
      </c>
      <c r="B78" s="2"/>
      <c r="C78" s="2">
        <v>9600</v>
      </c>
      <c r="D78" s="2" t="s">
        <v>167</v>
      </c>
      <c r="E78" s="2" t="s">
        <v>194</v>
      </c>
    </row>
    <row r="79" spans="1:5" x14ac:dyDescent="0.3">
      <c r="A79" s="2" t="s">
        <v>169</v>
      </c>
      <c r="B79" s="2"/>
      <c r="C79" s="2">
        <v>1200</v>
      </c>
      <c r="D79" s="2" t="s">
        <v>170</v>
      </c>
      <c r="E79" s="2" t="s">
        <v>191</v>
      </c>
    </row>
    <row r="80" spans="1:5" x14ac:dyDescent="0.3">
      <c r="A80" s="2" t="s">
        <v>196</v>
      </c>
      <c r="B80" s="2">
        <v>2124</v>
      </c>
      <c r="C80" s="2"/>
      <c r="D80" s="2" t="s">
        <v>195</v>
      </c>
      <c r="E80" s="2" t="s">
        <v>209</v>
      </c>
    </row>
    <row r="81" spans="1:5" x14ac:dyDescent="0.3">
      <c r="A81" s="2" t="s">
        <v>171</v>
      </c>
      <c r="B81" s="2"/>
      <c r="C81" s="2">
        <v>14800</v>
      </c>
      <c r="D81" s="2" t="s">
        <v>172</v>
      </c>
      <c r="E81" s="2" t="s">
        <v>211</v>
      </c>
    </row>
    <row r="82" spans="1:5" x14ac:dyDescent="0.3">
      <c r="A82" s="2" t="s">
        <v>165</v>
      </c>
      <c r="B82" s="2"/>
      <c r="C82" s="2">
        <v>1223</v>
      </c>
      <c r="D82" s="2" t="s">
        <v>173</v>
      </c>
      <c r="E82" s="2" t="s">
        <v>211</v>
      </c>
    </row>
    <row r="83" spans="1:5" x14ac:dyDescent="0.3">
      <c r="A83" s="2" t="s">
        <v>73</v>
      </c>
      <c r="B83" s="2"/>
      <c r="C83" s="2">
        <v>1710</v>
      </c>
      <c r="D83" s="2" t="s">
        <v>139</v>
      </c>
      <c r="E83" s="2" t="s">
        <v>211</v>
      </c>
    </row>
    <row r="84" spans="1:5" x14ac:dyDescent="0.3">
      <c r="A84" s="2" t="s">
        <v>156</v>
      </c>
      <c r="B84" s="2"/>
      <c r="C84" s="2">
        <v>198</v>
      </c>
      <c r="D84" s="2" t="s">
        <v>174</v>
      </c>
      <c r="E84" s="2" t="s">
        <v>211</v>
      </c>
    </row>
    <row r="85" spans="1:5" x14ac:dyDescent="0.3">
      <c r="A85" s="4" t="s">
        <v>175</v>
      </c>
      <c r="B85" s="2"/>
      <c r="C85" s="2">
        <v>987</v>
      </c>
      <c r="D85" s="2" t="s">
        <v>139</v>
      </c>
      <c r="E85" s="2" t="s">
        <v>211</v>
      </c>
    </row>
    <row r="86" spans="1:5" x14ac:dyDescent="0.3">
      <c r="A86" s="3" t="s">
        <v>98</v>
      </c>
      <c r="B86" s="3"/>
      <c r="C86" s="3"/>
      <c r="D86" s="3"/>
      <c r="E86" s="3"/>
    </row>
    <row r="87" spans="1:5" x14ac:dyDescent="0.3">
      <c r="A87" s="2" t="s">
        <v>199</v>
      </c>
      <c r="B87" s="2"/>
      <c r="C87" s="2">
        <v>13802</v>
      </c>
      <c r="D87" s="2" t="s">
        <v>200</v>
      </c>
      <c r="E87" s="2" t="s">
        <v>191</v>
      </c>
    </row>
    <row r="88" spans="1:5" x14ac:dyDescent="0.3">
      <c r="A88" s="2" t="s">
        <v>176</v>
      </c>
      <c r="B88" s="2"/>
      <c r="C88" s="2">
        <v>18832</v>
      </c>
      <c r="D88" s="2"/>
      <c r="E88" s="2" t="s">
        <v>211</v>
      </c>
    </row>
    <row r="89" spans="1:5" x14ac:dyDescent="0.3">
      <c r="A89" s="2" t="s">
        <v>177</v>
      </c>
      <c r="B89" s="2"/>
      <c r="C89" s="2">
        <v>13900</v>
      </c>
      <c r="D89" s="2" t="s">
        <v>213</v>
      </c>
      <c r="E89" s="2" t="s">
        <v>191</v>
      </c>
    </row>
    <row r="90" spans="1:5" x14ac:dyDescent="0.3">
      <c r="A90" s="2" t="s">
        <v>69</v>
      </c>
      <c r="B90" s="2"/>
      <c r="C90" s="2">
        <v>3032</v>
      </c>
      <c r="D90" s="2" t="s">
        <v>138</v>
      </c>
      <c r="E90" s="2" t="s">
        <v>211</v>
      </c>
    </row>
    <row r="91" spans="1:5" x14ac:dyDescent="0.3">
      <c r="A91" s="2" t="s">
        <v>178</v>
      </c>
      <c r="B91" s="2"/>
      <c r="C91" s="2">
        <v>1061</v>
      </c>
      <c r="D91" s="2" t="s">
        <v>214</v>
      </c>
      <c r="E91" s="2" t="s">
        <v>191</v>
      </c>
    </row>
    <row r="92" spans="1:5" x14ac:dyDescent="0.3">
      <c r="A92" s="3" t="s">
        <v>99</v>
      </c>
      <c r="B92" s="3"/>
      <c r="C92" s="3"/>
      <c r="D92" s="3"/>
      <c r="E92" s="3"/>
    </row>
    <row r="93" spans="1:5" x14ac:dyDescent="0.3">
      <c r="A93" s="2" t="s">
        <v>178</v>
      </c>
      <c r="B93" s="2"/>
      <c r="C93" s="2">
        <v>3625</v>
      </c>
      <c r="D93" s="2" t="s">
        <v>186</v>
      </c>
      <c r="E93" s="2" t="s">
        <v>12</v>
      </c>
    </row>
    <row r="94" spans="1:5" x14ac:dyDescent="0.3">
      <c r="A94" s="2" t="s">
        <v>179</v>
      </c>
      <c r="B94" s="2"/>
      <c r="C94" s="2">
        <v>5264</v>
      </c>
      <c r="D94" s="2" t="s">
        <v>187</v>
      </c>
      <c r="E94" s="2" t="s">
        <v>191</v>
      </c>
    </row>
    <row r="95" spans="1:5" x14ac:dyDescent="0.3">
      <c r="A95" s="2" t="s">
        <v>180</v>
      </c>
      <c r="B95" s="2"/>
      <c r="C95" s="2">
        <v>28800</v>
      </c>
      <c r="D95" s="2" t="s">
        <v>188</v>
      </c>
      <c r="E95" s="2" t="s">
        <v>191</v>
      </c>
    </row>
    <row r="96" spans="1:5" x14ac:dyDescent="0.3">
      <c r="A96" s="2" t="s">
        <v>126</v>
      </c>
      <c r="B96" s="2"/>
      <c r="C96" s="2">
        <v>492</v>
      </c>
      <c r="D96" s="2" t="s">
        <v>189</v>
      </c>
      <c r="E96" s="2" t="s">
        <v>191</v>
      </c>
    </row>
    <row r="97" spans="1:5" x14ac:dyDescent="0.3">
      <c r="A97" s="2" t="s">
        <v>181</v>
      </c>
      <c r="B97" s="2"/>
      <c r="C97" s="2">
        <v>10980</v>
      </c>
      <c r="D97" s="2" t="s">
        <v>162</v>
      </c>
      <c r="E97" s="2" t="s">
        <v>211</v>
      </c>
    </row>
    <row r="98" spans="1:5" x14ac:dyDescent="0.3">
      <c r="A98" s="2" t="s">
        <v>183</v>
      </c>
      <c r="B98" s="2"/>
      <c r="C98" s="2">
        <v>10320</v>
      </c>
      <c r="D98" s="2" t="s">
        <v>72</v>
      </c>
      <c r="E98" s="2" t="s">
        <v>209</v>
      </c>
    </row>
    <row r="99" spans="1:5" x14ac:dyDescent="0.3">
      <c r="A99" s="2" t="s">
        <v>164</v>
      </c>
      <c r="B99" s="2"/>
      <c r="C99" s="2">
        <v>5000</v>
      </c>
      <c r="D99" s="2" t="s">
        <v>190</v>
      </c>
      <c r="E99" s="2" t="s">
        <v>209</v>
      </c>
    </row>
    <row r="100" spans="1:5" x14ac:dyDescent="0.3">
      <c r="A100" s="2" t="s">
        <v>185</v>
      </c>
      <c r="B100" s="2"/>
      <c r="C100" s="2">
        <v>10800</v>
      </c>
      <c r="D100" s="2" t="s">
        <v>208</v>
      </c>
      <c r="E100" s="2" t="s">
        <v>191</v>
      </c>
    </row>
    <row r="101" spans="1:5" x14ac:dyDescent="0.3">
      <c r="A101" s="2"/>
      <c r="B101" s="2"/>
      <c r="C101" s="2"/>
      <c r="D101" s="2"/>
    </row>
    <row r="102" spans="1:5" x14ac:dyDescent="0.3">
      <c r="A102" s="2"/>
      <c r="B102" s="2"/>
      <c r="C102" s="2"/>
      <c r="D102" s="2"/>
    </row>
    <row r="103" spans="1:5" x14ac:dyDescent="0.3">
      <c r="A103" s="2"/>
      <c r="B103" s="2"/>
      <c r="C103" s="2"/>
      <c r="D103" s="2"/>
    </row>
    <row r="104" spans="1:5" x14ac:dyDescent="0.3">
      <c r="A104" s="2"/>
      <c r="B104" s="2"/>
      <c r="C104" s="2"/>
      <c r="D104" s="2"/>
    </row>
    <row r="105" spans="1:5" x14ac:dyDescent="0.3">
      <c r="A105" s="2"/>
      <c r="B105" s="2"/>
      <c r="C105" s="2"/>
      <c r="D105" s="2"/>
    </row>
    <row r="106" spans="1:5" x14ac:dyDescent="0.3">
      <c r="A106" s="2"/>
      <c r="B106" s="2"/>
      <c r="C106" s="2"/>
      <c r="D106" s="2"/>
    </row>
    <row r="107" spans="1:5" x14ac:dyDescent="0.3">
      <c r="A107" s="2"/>
      <c r="B107" s="2"/>
      <c r="C107" s="2"/>
      <c r="D107" s="2"/>
    </row>
    <row r="108" spans="1:5" x14ac:dyDescent="0.3">
      <c r="A108" s="2"/>
      <c r="B108" s="2"/>
      <c r="C108" s="2"/>
      <c r="D108" s="2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E041-BF31-4BCB-B15D-4B2A7FA3331C}">
  <dimension ref="A1:I70"/>
  <sheetViews>
    <sheetView topLeftCell="A25" workbookViewId="0">
      <selection activeCell="E39" sqref="A39:E39"/>
    </sheetView>
  </sheetViews>
  <sheetFormatPr defaultRowHeight="16.2" x14ac:dyDescent="0.3"/>
  <cols>
    <col min="1" max="1" width="36.33203125" style="2" bestFit="1" customWidth="1"/>
    <col min="2" max="2" width="13.109375" style="2" customWidth="1"/>
    <col min="3" max="3" width="16.6640625" style="2" customWidth="1"/>
    <col min="4" max="4" width="54.21875" style="2" customWidth="1"/>
    <col min="5" max="5" width="9" style="2"/>
    <col min="7" max="8" width="9.44140625" bestFit="1" customWidth="1"/>
    <col min="9" max="9" width="11.109375" bestFit="1" customWidth="1"/>
  </cols>
  <sheetData>
    <row r="1" spans="1:9" x14ac:dyDescent="0.3">
      <c r="A1" s="2" t="s">
        <v>2</v>
      </c>
      <c r="B1" s="2" t="s">
        <v>0</v>
      </c>
      <c r="C1" s="2" t="s">
        <v>1</v>
      </c>
      <c r="D1" s="2" t="s">
        <v>71</v>
      </c>
      <c r="E1" s="2" t="s">
        <v>210</v>
      </c>
      <c r="H1" s="2" t="s">
        <v>0</v>
      </c>
      <c r="I1" s="2" t="s">
        <v>258</v>
      </c>
    </row>
    <row r="2" spans="1:9" x14ac:dyDescent="0.3">
      <c r="A2" s="2" t="s">
        <v>226</v>
      </c>
      <c r="B2" s="2">
        <v>37952</v>
      </c>
      <c r="D2" s="2" t="s">
        <v>298</v>
      </c>
      <c r="E2" s="2" t="s">
        <v>209</v>
      </c>
      <c r="G2" s="2" t="s">
        <v>67</v>
      </c>
      <c r="H2">
        <f>SUM(B2:B70)+SUM(C2:C70)*0.225</f>
        <v>81832.175000000003</v>
      </c>
    </row>
    <row r="3" spans="1:9" x14ac:dyDescent="0.3">
      <c r="A3" s="2" t="s">
        <v>227</v>
      </c>
      <c r="C3" s="2">
        <v>70020</v>
      </c>
      <c r="E3" s="2" t="s">
        <v>215</v>
      </c>
      <c r="G3" s="2" t="s">
        <v>215</v>
      </c>
      <c r="H3" s="5">
        <f>C3*0.225</f>
        <v>15754.5</v>
      </c>
    </row>
    <row r="4" spans="1:9" x14ac:dyDescent="0.3">
      <c r="A4" s="3" t="s">
        <v>216</v>
      </c>
      <c r="B4" s="3"/>
      <c r="C4" s="3"/>
      <c r="D4" s="3"/>
      <c r="E4" s="3"/>
      <c r="G4" s="2" t="s">
        <v>209</v>
      </c>
      <c r="H4" s="5">
        <f>(B2)+(C70)*0.225</f>
        <v>38906</v>
      </c>
    </row>
    <row r="5" spans="1:9" x14ac:dyDescent="0.3">
      <c r="A5" s="2" t="s">
        <v>225</v>
      </c>
      <c r="C5" s="2">
        <v>384</v>
      </c>
      <c r="D5" s="2" t="s">
        <v>228</v>
      </c>
      <c r="E5" s="2" t="s">
        <v>191</v>
      </c>
      <c r="G5" s="2" t="s">
        <v>211</v>
      </c>
      <c r="H5">
        <f>(C13+C14+C18+C21+C23+C24+C25+C15+C28+C26+C27+C31+C34+C35+C40+C42+C43+C48+C52+C53+C65+C68)*0.225</f>
        <v>13763.025</v>
      </c>
    </row>
    <row r="6" spans="1:9" x14ac:dyDescent="0.3">
      <c r="A6" s="2" t="s">
        <v>230</v>
      </c>
      <c r="C6" s="2">
        <v>180</v>
      </c>
      <c r="E6" s="2" t="s">
        <v>191</v>
      </c>
      <c r="G6" s="2" t="s">
        <v>191</v>
      </c>
      <c r="H6">
        <f>(C5+C6+C7+C8+C9+C10+C11+C12+C16+C17+C19+C20+C32+C37+C38+C39+C41+C44+C46+C47+C49+C50+C51+C54+C55+C57+C56+C58+C59+C60+C61+C62+C64+C66+C67+C69)*0.225</f>
        <v>12630.15</v>
      </c>
    </row>
    <row r="7" spans="1:9" x14ac:dyDescent="0.3">
      <c r="A7" s="2" t="s">
        <v>231</v>
      </c>
      <c r="C7" s="2">
        <v>180</v>
      </c>
      <c r="E7" s="2" t="s">
        <v>191</v>
      </c>
      <c r="G7" s="2" t="s">
        <v>194</v>
      </c>
      <c r="H7">
        <f>(C29+C30+C36)*0.225</f>
        <v>778.5</v>
      </c>
    </row>
    <row r="8" spans="1:9" x14ac:dyDescent="0.3">
      <c r="A8" s="2" t="s">
        <v>232</v>
      </c>
      <c r="C8" s="2">
        <v>120</v>
      </c>
      <c r="E8" s="2" t="s">
        <v>191</v>
      </c>
    </row>
    <row r="9" spans="1:9" x14ac:dyDescent="0.3">
      <c r="A9" s="2" t="s">
        <v>233</v>
      </c>
      <c r="C9" s="2">
        <v>798</v>
      </c>
      <c r="D9" s="2" t="s">
        <v>234</v>
      </c>
      <c r="E9" s="2" t="s">
        <v>191</v>
      </c>
    </row>
    <row r="10" spans="1:9" x14ac:dyDescent="0.3">
      <c r="A10" s="2" t="s">
        <v>233</v>
      </c>
      <c r="C10" s="2">
        <v>440</v>
      </c>
      <c r="E10" s="2" t="s">
        <v>191</v>
      </c>
    </row>
    <row r="11" spans="1:9" x14ac:dyDescent="0.3">
      <c r="A11" s="2" t="s">
        <v>233</v>
      </c>
      <c r="C11" s="2">
        <v>281</v>
      </c>
      <c r="E11" s="2" t="s">
        <v>191</v>
      </c>
    </row>
    <row r="12" spans="1:9" x14ac:dyDescent="0.3">
      <c r="A12" s="2" t="s">
        <v>233</v>
      </c>
      <c r="C12" s="2">
        <v>298</v>
      </c>
      <c r="E12" s="2" t="s">
        <v>191</v>
      </c>
    </row>
    <row r="13" spans="1:9" x14ac:dyDescent="0.3">
      <c r="A13" s="2" t="s">
        <v>217</v>
      </c>
      <c r="C13" s="2">
        <v>7810</v>
      </c>
      <c r="D13" s="2" t="s">
        <v>218</v>
      </c>
      <c r="E13" s="2" t="s">
        <v>211</v>
      </c>
    </row>
    <row r="14" spans="1:9" x14ac:dyDescent="0.3">
      <c r="A14" s="2" t="s">
        <v>236</v>
      </c>
      <c r="C14" s="2">
        <v>648</v>
      </c>
      <c r="D14" s="2" t="s">
        <v>235</v>
      </c>
      <c r="E14" s="2" t="s">
        <v>211</v>
      </c>
    </row>
    <row r="15" spans="1:9" x14ac:dyDescent="0.3">
      <c r="A15" s="2" t="s">
        <v>219</v>
      </c>
      <c r="C15" s="2">
        <v>279</v>
      </c>
      <c r="E15" s="2" t="s">
        <v>220</v>
      </c>
    </row>
    <row r="16" spans="1:9" x14ac:dyDescent="0.3">
      <c r="A16" s="2" t="s">
        <v>221</v>
      </c>
      <c r="C16" s="2">
        <v>2760</v>
      </c>
      <c r="D16" s="2" t="s">
        <v>222</v>
      </c>
      <c r="E16" s="2" t="s">
        <v>191</v>
      </c>
    </row>
    <row r="17" spans="1:5" x14ac:dyDescent="0.3">
      <c r="A17" s="2" t="s">
        <v>224</v>
      </c>
      <c r="C17" s="2">
        <v>4000</v>
      </c>
      <c r="D17" s="2" t="s">
        <v>223</v>
      </c>
      <c r="E17" s="2" t="s">
        <v>191</v>
      </c>
    </row>
    <row r="18" spans="1:5" x14ac:dyDescent="0.3">
      <c r="A18" s="2" t="s">
        <v>250</v>
      </c>
      <c r="C18" s="2">
        <v>208</v>
      </c>
      <c r="E18" s="2" t="s">
        <v>211</v>
      </c>
    </row>
    <row r="19" spans="1:5" x14ac:dyDescent="0.3">
      <c r="A19" s="2" t="s">
        <v>251</v>
      </c>
      <c r="C19" s="2">
        <v>198</v>
      </c>
      <c r="E19" s="2" t="s">
        <v>191</v>
      </c>
    </row>
    <row r="20" spans="1:5" x14ac:dyDescent="0.3">
      <c r="A20" s="2" t="s">
        <v>252</v>
      </c>
      <c r="C20" s="2">
        <v>198</v>
      </c>
      <c r="E20" s="2" t="s">
        <v>191</v>
      </c>
    </row>
    <row r="21" spans="1:5" x14ac:dyDescent="0.3">
      <c r="A21" s="2" t="s">
        <v>253</v>
      </c>
      <c r="C21" s="2">
        <v>216</v>
      </c>
      <c r="D21" s="2" t="s">
        <v>229</v>
      </c>
      <c r="E21" s="2" t="s">
        <v>211</v>
      </c>
    </row>
    <row r="22" spans="1:5" x14ac:dyDescent="0.3">
      <c r="A22" s="3" t="s">
        <v>237</v>
      </c>
      <c r="B22" s="3"/>
      <c r="C22" s="3"/>
      <c r="D22" s="3"/>
      <c r="E22" s="3"/>
    </row>
    <row r="23" spans="1:5" x14ac:dyDescent="0.3">
      <c r="A23" s="2" t="s">
        <v>238</v>
      </c>
      <c r="C23" s="2">
        <v>6800</v>
      </c>
      <c r="D23" s="2" t="s">
        <v>240</v>
      </c>
      <c r="E23" s="2" t="s">
        <v>211</v>
      </c>
    </row>
    <row r="24" spans="1:5" x14ac:dyDescent="0.3">
      <c r="A24" s="2" t="s">
        <v>239</v>
      </c>
      <c r="C24" s="2">
        <v>400</v>
      </c>
      <c r="D24" s="2" t="s">
        <v>240</v>
      </c>
      <c r="E24" s="2" t="s">
        <v>211</v>
      </c>
    </row>
    <row r="25" spans="1:5" x14ac:dyDescent="0.3">
      <c r="A25" s="2" t="s">
        <v>241</v>
      </c>
      <c r="C25" s="2">
        <v>427</v>
      </c>
      <c r="D25" s="2" t="s">
        <v>242</v>
      </c>
      <c r="E25" s="2" t="s">
        <v>211</v>
      </c>
    </row>
    <row r="26" spans="1:5" x14ac:dyDescent="0.3">
      <c r="A26" s="2" t="s">
        <v>256</v>
      </c>
      <c r="C26" s="2">
        <v>1200</v>
      </c>
      <c r="D26" s="2" t="s">
        <v>257</v>
      </c>
      <c r="E26" s="2" t="s">
        <v>220</v>
      </c>
    </row>
    <row r="27" spans="1:5" x14ac:dyDescent="0.3">
      <c r="A27" s="2" t="s">
        <v>243</v>
      </c>
      <c r="C27" s="2">
        <v>308</v>
      </c>
      <c r="E27" s="2" t="s">
        <v>220</v>
      </c>
    </row>
    <row r="28" spans="1:5" x14ac:dyDescent="0.3">
      <c r="A28" s="2" t="s">
        <v>244</v>
      </c>
      <c r="C28" s="2">
        <v>384</v>
      </c>
      <c r="E28" s="2" t="s">
        <v>211</v>
      </c>
    </row>
    <row r="29" spans="1:5" x14ac:dyDescent="0.3">
      <c r="A29" s="2" t="s">
        <v>245</v>
      </c>
      <c r="C29" s="2">
        <v>1200</v>
      </c>
      <c r="D29" s="2" t="s">
        <v>246</v>
      </c>
      <c r="E29" s="2" t="s">
        <v>194</v>
      </c>
    </row>
    <row r="30" spans="1:5" x14ac:dyDescent="0.3">
      <c r="A30" s="2" t="s">
        <v>247</v>
      </c>
      <c r="C30" s="2">
        <v>1260</v>
      </c>
      <c r="D30" s="2" t="s">
        <v>248</v>
      </c>
      <c r="E30" s="2" t="s">
        <v>194</v>
      </c>
    </row>
    <row r="31" spans="1:5" x14ac:dyDescent="0.3">
      <c r="A31" s="2" t="s">
        <v>19</v>
      </c>
      <c r="C31" s="2">
        <v>14150</v>
      </c>
      <c r="D31" s="2" t="s">
        <v>249</v>
      </c>
      <c r="E31" s="2" t="s">
        <v>211</v>
      </c>
    </row>
    <row r="32" spans="1:5" x14ac:dyDescent="0.3">
      <c r="A32" s="2" t="s">
        <v>254</v>
      </c>
      <c r="C32" s="2">
        <v>1578</v>
      </c>
      <c r="E32" s="2" t="s">
        <v>191</v>
      </c>
    </row>
    <row r="33" spans="1:5" x14ac:dyDescent="0.3">
      <c r="A33" s="3" t="s">
        <v>255</v>
      </c>
      <c r="B33" s="3"/>
      <c r="C33" s="3"/>
      <c r="D33" s="3"/>
      <c r="E33" s="3"/>
    </row>
    <row r="34" spans="1:5" x14ac:dyDescent="0.3">
      <c r="A34" s="2" t="s">
        <v>243</v>
      </c>
      <c r="C34" s="2">
        <v>270</v>
      </c>
      <c r="E34" s="2" t="s">
        <v>220</v>
      </c>
    </row>
    <row r="35" spans="1:5" x14ac:dyDescent="0.3">
      <c r="A35" s="2" t="s">
        <v>259</v>
      </c>
      <c r="C35" s="2">
        <v>6250</v>
      </c>
      <c r="E35" s="2" t="s">
        <v>211</v>
      </c>
    </row>
    <row r="36" spans="1:5" x14ac:dyDescent="0.3">
      <c r="A36" s="2" t="s">
        <v>260</v>
      </c>
      <c r="C36" s="2">
        <v>1000</v>
      </c>
      <c r="E36" s="2" t="s">
        <v>194</v>
      </c>
    </row>
    <row r="37" spans="1:5" x14ac:dyDescent="0.3">
      <c r="A37" s="2" t="s">
        <v>261</v>
      </c>
      <c r="C37" s="2">
        <v>600</v>
      </c>
      <c r="E37" s="2" t="s">
        <v>191</v>
      </c>
    </row>
    <row r="38" spans="1:5" x14ac:dyDescent="0.3">
      <c r="A38" s="2" t="s">
        <v>262</v>
      </c>
      <c r="C38" s="2">
        <v>1944</v>
      </c>
      <c r="E38" s="2" t="s">
        <v>191</v>
      </c>
    </row>
    <row r="39" spans="1:5" x14ac:dyDescent="0.3">
      <c r="A39" s="2" t="s">
        <v>263</v>
      </c>
      <c r="C39" s="2">
        <v>2500</v>
      </c>
      <c r="E39" s="2" t="s">
        <v>191</v>
      </c>
    </row>
    <row r="40" spans="1:5" x14ac:dyDescent="0.3">
      <c r="A40" s="2" t="s">
        <v>268</v>
      </c>
      <c r="C40" s="2">
        <v>11924</v>
      </c>
      <c r="D40" s="2" t="s">
        <v>297</v>
      </c>
      <c r="E40" s="2" t="s">
        <v>211</v>
      </c>
    </row>
    <row r="41" spans="1:5" x14ac:dyDescent="0.3">
      <c r="A41" s="2" t="s">
        <v>264</v>
      </c>
      <c r="C41" s="2">
        <v>2273</v>
      </c>
      <c r="E41" s="2" t="s">
        <v>191</v>
      </c>
    </row>
    <row r="42" spans="1:5" x14ac:dyDescent="0.3">
      <c r="A42" s="2" t="s">
        <v>265</v>
      </c>
      <c r="C42" s="2">
        <v>85</v>
      </c>
      <c r="E42" s="2" t="s">
        <v>220</v>
      </c>
    </row>
    <row r="43" spans="1:5" x14ac:dyDescent="0.3">
      <c r="A43" s="2" t="s">
        <v>266</v>
      </c>
      <c r="C43" s="2">
        <v>95</v>
      </c>
      <c r="E43" s="2" t="s">
        <v>220</v>
      </c>
    </row>
    <row r="44" spans="1:5" x14ac:dyDescent="0.3">
      <c r="A44" s="2" t="s">
        <v>254</v>
      </c>
      <c r="C44" s="2">
        <v>853</v>
      </c>
      <c r="D44" s="2" t="s">
        <v>267</v>
      </c>
      <c r="E44" s="2" t="s">
        <v>191</v>
      </c>
    </row>
    <row r="45" spans="1:5" x14ac:dyDescent="0.3">
      <c r="A45" s="3" t="s">
        <v>269</v>
      </c>
      <c r="B45" s="3"/>
      <c r="C45" s="3"/>
      <c r="D45" s="3"/>
      <c r="E45" s="3"/>
    </row>
    <row r="46" spans="1:5" x14ac:dyDescent="0.3">
      <c r="A46" s="2" t="s">
        <v>271</v>
      </c>
      <c r="C46" s="2">
        <v>2400</v>
      </c>
      <c r="D46" s="2" t="s">
        <v>295</v>
      </c>
      <c r="E46" s="2" t="s">
        <v>191</v>
      </c>
    </row>
    <row r="47" spans="1:5" x14ac:dyDescent="0.3">
      <c r="A47" s="2" t="s">
        <v>270</v>
      </c>
      <c r="C47" s="2">
        <v>5960</v>
      </c>
      <c r="D47" s="2" t="s">
        <v>296</v>
      </c>
      <c r="E47" s="2" t="s">
        <v>191</v>
      </c>
    </row>
    <row r="48" spans="1:5" x14ac:dyDescent="0.3">
      <c r="A48" s="2" t="s">
        <v>243</v>
      </c>
      <c r="C48" s="2">
        <v>273</v>
      </c>
      <c r="E48" s="2" t="s">
        <v>220</v>
      </c>
    </row>
    <row r="49" spans="1:5" x14ac:dyDescent="0.3">
      <c r="A49" s="2" t="s">
        <v>272</v>
      </c>
      <c r="C49" s="2">
        <v>400</v>
      </c>
      <c r="E49" s="2" t="s">
        <v>191</v>
      </c>
    </row>
    <row r="50" spans="1:5" x14ac:dyDescent="0.3">
      <c r="A50" s="2" t="s">
        <v>273</v>
      </c>
      <c r="C50" s="2">
        <v>300</v>
      </c>
      <c r="E50" s="2" t="s">
        <v>191</v>
      </c>
    </row>
    <row r="51" spans="1:5" x14ac:dyDescent="0.3">
      <c r="A51" s="2" t="s">
        <v>274</v>
      </c>
      <c r="C51" s="2">
        <v>790</v>
      </c>
      <c r="E51" s="2" t="s">
        <v>191</v>
      </c>
    </row>
    <row r="52" spans="1:5" x14ac:dyDescent="0.3">
      <c r="A52" s="2" t="s">
        <v>275</v>
      </c>
      <c r="C52" s="2">
        <v>172</v>
      </c>
      <c r="E52" s="2" t="s">
        <v>220</v>
      </c>
    </row>
    <row r="53" spans="1:5" x14ac:dyDescent="0.3">
      <c r="A53" s="2" t="s">
        <v>276</v>
      </c>
      <c r="C53" s="2">
        <v>4860</v>
      </c>
      <c r="E53" s="2" t="s">
        <v>211</v>
      </c>
    </row>
    <row r="54" spans="1:5" x14ac:dyDescent="0.3">
      <c r="A54" s="2" t="s">
        <v>254</v>
      </c>
      <c r="C54" s="2">
        <v>1106</v>
      </c>
      <c r="D54" s="2" t="s">
        <v>277</v>
      </c>
      <c r="E54" s="2" t="s">
        <v>191</v>
      </c>
    </row>
    <row r="55" spans="1:5" x14ac:dyDescent="0.3">
      <c r="A55" s="2" t="s">
        <v>278</v>
      </c>
      <c r="C55" s="2">
        <v>278</v>
      </c>
      <c r="E55" s="2" t="s">
        <v>191</v>
      </c>
    </row>
    <row r="56" spans="1:5" x14ac:dyDescent="0.3">
      <c r="A56" s="2" t="s">
        <v>279</v>
      </c>
      <c r="C56" s="2">
        <v>198</v>
      </c>
      <c r="E56" s="2" t="s">
        <v>191</v>
      </c>
    </row>
    <row r="57" spans="1:5" x14ac:dyDescent="0.3">
      <c r="A57" s="2" t="s">
        <v>280</v>
      </c>
      <c r="C57" s="2">
        <v>198</v>
      </c>
      <c r="E57" s="2" t="s">
        <v>191</v>
      </c>
    </row>
    <row r="58" spans="1:5" x14ac:dyDescent="0.3">
      <c r="A58" s="2" t="s">
        <v>281</v>
      </c>
      <c r="C58" s="2">
        <v>198</v>
      </c>
      <c r="E58" s="2" t="s">
        <v>191</v>
      </c>
    </row>
    <row r="59" spans="1:5" x14ac:dyDescent="0.3">
      <c r="A59" s="2" t="s">
        <v>282</v>
      </c>
      <c r="C59" s="2">
        <v>128</v>
      </c>
      <c r="E59" s="2" t="s">
        <v>191</v>
      </c>
    </row>
    <row r="60" spans="1:5" x14ac:dyDescent="0.3">
      <c r="A60" s="2" t="s">
        <v>283</v>
      </c>
      <c r="C60" s="2">
        <v>128</v>
      </c>
      <c r="E60" s="2" t="s">
        <v>191</v>
      </c>
    </row>
    <row r="61" spans="1:5" x14ac:dyDescent="0.3">
      <c r="A61" s="2" t="s">
        <v>284</v>
      </c>
      <c r="C61" s="2">
        <v>128</v>
      </c>
      <c r="E61" s="2" t="s">
        <v>191</v>
      </c>
    </row>
    <row r="62" spans="1:5" x14ac:dyDescent="0.3">
      <c r="A62" s="2" t="s">
        <v>285</v>
      </c>
      <c r="C62" s="2">
        <v>218</v>
      </c>
      <c r="E62" s="2" t="s">
        <v>191</v>
      </c>
    </row>
    <row r="63" spans="1:5" x14ac:dyDescent="0.3">
      <c r="A63" s="3" t="s">
        <v>286</v>
      </c>
      <c r="B63" s="3"/>
      <c r="C63" s="3"/>
      <c r="D63" s="3"/>
      <c r="E63" s="3"/>
    </row>
    <row r="64" spans="1:5" x14ac:dyDescent="0.3">
      <c r="A64" s="2" t="s">
        <v>287</v>
      </c>
      <c r="C64" s="2">
        <v>8150</v>
      </c>
      <c r="E64" s="2" t="s">
        <v>191</v>
      </c>
    </row>
    <row r="65" spans="1:5" x14ac:dyDescent="0.3">
      <c r="A65" s="2" t="s">
        <v>288</v>
      </c>
      <c r="C65" s="2">
        <v>351</v>
      </c>
      <c r="E65" s="2" t="s">
        <v>211</v>
      </c>
    </row>
    <row r="66" spans="1:5" x14ac:dyDescent="0.3">
      <c r="A66" s="2" t="s">
        <v>289</v>
      </c>
      <c r="C66" s="2">
        <v>1760</v>
      </c>
      <c r="E66" s="2" t="s">
        <v>191</v>
      </c>
    </row>
    <row r="67" spans="1:5" x14ac:dyDescent="0.3">
      <c r="A67" s="2" t="s">
        <v>290</v>
      </c>
      <c r="C67" s="2">
        <v>1509</v>
      </c>
      <c r="E67" s="2" t="s">
        <v>191</v>
      </c>
    </row>
    <row r="68" spans="1:5" x14ac:dyDescent="0.3">
      <c r="A68" s="2" t="s">
        <v>291</v>
      </c>
      <c r="C68" s="2">
        <v>4059</v>
      </c>
      <c r="E68" s="2" t="s">
        <v>211</v>
      </c>
    </row>
    <row r="69" spans="1:5" x14ac:dyDescent="0.3">
      <c r="A69" s="2" t="s">
        <v>292</v>
      </c>
      <c r="C69" s="2">
        <v>12700</v>
      </c>
      <c r="D69" s="2" t="s">
        <v>293</v>
      </c>
      <c r="E69" s="2" t="s">
        <v>191</v>
      </c>
    </row>
    <row r="70" spans="1:5" x14ac:dyDescent="0.3">
      <c r="A70" s="2" t="s">
        <v>294</v>
      </c>
      <c r="C70" s="2">
        <v>4240</v>
      </c>
      <c r="E70" s="2" t="s">
        <v>209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85D8-E6B0-4BF3-AB3D-6334A016B420}">
  <dimension ref="A1:I55"/>
  <sheetViews>
    <sheetView workbookViewId="0">
      <selection activeCell="H2" sqref="H2"/>
    </sheetView>
  </sheetViews>
  <sheetFormatPr defaultRowHeight="16.2" x14ac:dyDescent="0.3"/>
  <cols>
    <col min="1" max="1" width="36.33203125" style="2" bestFit="1" customWidth="1"/>
    <col min="2" max="2" width="9" style="2"/>
    <col min="3" max="3" width="8.44140625" style="2" customWidth="1"/>
    <col min="4" max="4" width="47.109375" style="2" bestFit="1" customWidth="1"/>
    <col min="8" max="8" width="9.44140625" bestFit="1" customWidth="1"/>
    <col min="9" max="9" width="12.21875" bestFit="1" customWidth="1"/>
  </cols>
  <sheetData>
    <row r="1" spans="1:9" x14ac:dyDescent="0.3">
      <c r="A1" s="2" t="s">
        <v>2</v>
      </c>
      <c r="B1" s="2" t="s">
        <v>0</v>
      </c>
      <c r="C1" s="2" t="s">
        <v>1</v>
      </c>
      <c r="D1" s="2" t="s">
        <v>71</v>
      </c>
      <c r="E1" s="2" t="s">
        <v>210</v>
      </c>
      <c r="H1" s="2" t="s">
        <v>0</v>
      </c>
      <c r="I1" s="2" t="s">
        <v>366</v>
      </c>
    </row>
    <row r="2" spans="1:9" x14ac:dyDescent="0.3">
      <c r="A2" s="2" t="s">
        <v>299</v>
      </c>
      <c r="B2" s="2">
        <v>33524</v>
      </c>
      <c r="D2" s="2" t="s">
        <v>300</v>
      </c>
      <c r="E2" s="2" t="s">
        <v>209</v>
      </c>
      <c r="G2" s="2" t="s">
        <v>67</v>
      </c>
      <c r="H2">
        <f>SUM(B2:B72)+SUM(C2:C72)*0.22</f>
        <v>113384.01999999999</v>
      </c>
    </row>
    <row r="3" spans="1:9" x14ac:dyDescent="0.3">
      <c r="A3" s="2" t="s">
        <v>307</v>
      </c>
      <c r="C3" s="2">
        <v>20580</v>
      </c>
      <c r="E3" s="2" t="s">
        <v>215</v>
      </c>
      <c r="G3" s="2" t="s">
        <v>215</v>
      </c>
      <c r="H3" s="5">
        <f>B5+(C3+C4+C8)*0.22</f>
        <v>27459.599999999999</v>
      </c>
    </row>
    <row r="4" spans="1:9" x14ac:dyDescent="0.3">
      <c r="A4" s="2" t="s">
        <v>308</v>
      </c>
      <c r="C4" s="2">
        <v>41400</v>
      </c>
      <c r="E4" s="2" t="s">
        <v>215</v>
      </c>
      <c r="G4" s="2" t="s">
        <v>209</v>
      </c>
      <c r="H4" s="5">
        <f>(B2+B7+B12+B54)+(C72+C17+C23+C55)*0.22</f>
        <v>52427</v>
      </c>
    </row>
    <row r="5" spans="1:9" x14ac:dyDescent="0.3">
      <c r="A5" s="2" t="s">
        <v>309</v>
      </c>
      <c r="B5" s="2">
        <v>12900</v>
      </c>
      <c r="E5" s="2" t="s">
        <v>215</v>
      </c>
      <c r="G5" s="2" t="s">
        <v>211</v>
      </c>
      <c r="H5">
        <f>(C9+C10+C25+C26+C28+C31+C32+C33+C35+C36+C38+C41)*0.22</f>
        <v>5636.62</v>
      </c>
    </row>
    <row r="6" spans="1:9" x14ac:dyDescent="0.3">
      <c r="A6" s="3" t="s">
        <v>301</v>
      </c>
      <c r="B6" s="3"/>
      <c r="C6" s="3"/>
      <c r="D6" s="3"/>
      <c r="E6" s="3"/>
      <c r="G6" s="2" t="s">
        <v>191</v>
      </c>
      <c r="H6">
        <f>(C13+C14+C15+C16+C19+C20+C21+C22+C24+C39+C40+C42+C44+C45+C46+C47+C48+C49+C52+C51+C53+C30+C50)*0.22</f>
        <v>23135.200000000001</v>
      </c>
    </row>
    <row r="7" spans="1:9" x14ac:dyDescent="0.3">
      <c r="A7" s="2" t="s">
        <v>302</v>
      </c>
      <c r="B7" s="2">
        <v>604</v>
      </c>
      <c r="E7" s="2" t="s">
        <v>209</v>
      </c>
      <c r="G7" s="2" t="s">
        <v>194</v>
      </c>
      <c r="H7">
        <f>(C29+C37)*0.22</f>
        <v>4725.6000000000004</v>
      </c>
    </row>
    <row r="8" spans="1:9" x14ac:dyDescent="0.3">
      <c r="A8" s="2" t="s">
        <v>305</v>
      </c>
      <c r="C8" s="2">
        <v>4200</v>
      </c>
      <c r="D8" s="2" t="s">
        <v>306</v>
      </c>
      <c r="E8" s="2" t="s">
        <v>215</v>
      </c>
    </row>
    <row r="9" spans="1:9" x14ac:dyDescent="0.3">
      <c r="A9" s="2" t="s">
        <v>303</v>
      </c>
      <c r="C9" s="2">
        <v>1880</v>
      </c>
      <c r="E9" s="2" t="s">
        <v>211</v>
      </c>
    </row>
    <row r="10" spans="1:9" x14ac:dyDescent="0.3">
      <c r="A10" s="2" t="s">
        <v>304</v>
      </c>
      <c r="C10" s="2">
        <v>460</v>
      </c>
      <c r="E10" s="2" t="s">
        <v>211</v>
      </c>
    </row>
    <row r="11" spans="1:9" x14ac:dyDescent="0.3">
      <c r="A11" s="3" t="s">
        <v>310</v>
      </c>
      <c r="B11" s="3"/>
      <c r="C11" s="3"/>
      <c r="D11" s="3"/>
      <c r="E11" s="3"/>
    </row>
    <row r="12" spans="1:9" x14ac:dyDescent="0.3">
      <c r="A12" s="2" t="s">
        <v>311</v>
      </c>
      <c r="B12" s="2">
        <v>1899</v>
      </c>
      <c r="E12" s="2" t="s">
        <v>209</v>
      </c>
    </row>
    <row r="13" spans="1:9" x14ac:dyDescent="0.3">
      <c r="A13" s="2" t="s">
        <v>312</v>
      </c>
      <c r="C13" s="2">
        <v>400</v>
      </c>
      <c r="E13" s="2" t="s">
        <v>191</v>
      </c>
    </row>
    <row r="14" spans="1:9" x14ac:dyDescent="0.3">
      <c r="A14" s="2" t="s">
        <v>313</v>
      </c>
      <c r="C14" s="2">
        <v>800</v>
      </c>
      <c r="E14" s="2" t="s">
        <v>191</v>
      </c>
    </row>
    <row r="15" spans="1:9" x14ac:dyDescent="0.3">
      <c r="A15" s="2" t="s">
        <v>314</v>
      </c>
      <c r="C15" s="2">
        <v>800</v>
      </c>
      <c r="E15" s="2" t="s">
        <v>191</v>
      </c>
    </row>
    <row r="16" spans="1:9" x14ac:dyDescent="0.3">
      <c r="A16" s="2" t="s">
        <v>315</v>
      </c>
      <c r="C16" s="2">
        <v>2175</v>
      </c>
      <c r="D16" s="2" t="s">
        <v>316</v>
      </c>
      <c r="E16" s="2" t="s">
        <v>191</v>
      </c>
    </row>
    <row r="17" spans="1:5" x14ac:dyDescent="0.3">
      <c r="A17" s="2" t="s">
        <v>317</v>
      </c>
      <c r="C17" s="2">
        <v>4000</v>
      </c>
      <c r="D17" s="2" t="s">
        <v>327</v>
      </c>
      <c r="E17" s="2" t="s">
        <v>209</v>
      </c>
    </row>
    <row r="18" spans="1:5" x14ac:dyDescent="0.3">
      <c r="A18" s="3" t="s">
        <v>318</v>
      </c>
      <c r="B18" s="3"/>
      <c r="C18" s="3"/>
      <c r="D18" s="3"/>
      <c r="E18" s="3"/>
    </row>
    <row r="19" spans="1:5" x14ac:dyDescent="0.3">
      <c r="A19" s="2" t="s">
        <v>319</v>
      </c>
      <c r="C19" s="2">
        <v>13810</v>
      </c>
      <c r="D19" s="2" t="s">
        <v>320</v>
      </c>
      <c r="E19" s="2" t="s">
        <v>191</v>
      </c>
    </row>
    <row r="20" spans="1:5" x14ac:dyDescent="0.3">
      <c r="A20" s="2" t="s">
        <v>321</v>
      </c>
      <c r="C20" s="2">
        <v>2310</v>
      </c>
      <c r="D20" s="2" t="s">
        <v>328</v>
      </c>
      <c r="E20" s="2" t="s">
        <v>191</v>
      </c>
    </row>
    <row r="21" spans="1:5" x14ac:dyDescent="0.3">
      <c r="A21" s="2" t="s">
        <v>323</v>
      </c>
      <c r="C21" s="2">
        <v>9919</v>
      </c>
      <c r="D21" s="2" t="s">
        <v>322</v>
      </c>
      <c r="E21" s="2" t="s">
        <v>191</v>
      </c>
    </row>
    <row r="22" spans="1:5" x14ac:dyDescent="0.3">
      <c r="A22" s="2" t="s">
        <v>324</v>
      </c>
      <c r="C22" s="2">
        <v>15750</v>
      </c>
      <c r="D22" s="2" t="s">
        <v>320</v>
      </c>
      <c r="E22" s="2" t="s">
        <v>191</v>
      </c>
    </row>
    <row r="23" spans="1:5" x14ac:dyDescent="0.3">
      <c r="A23" s="2" t="s">
        <v>325</v>
      </c>
      <c r="C23" s="2">
        <v>3600</v>
      </c>
      <c r="D23" s="2" t="s">
        <v>326</v>
      </c>
      <c r="E23" s="2" t="s">
        <v>209</v>
      </c>
    </row>
    <row r="24" spans="1:5" x14ac:dyDescent="0.3">
      <c r="A24" s="2" t="s">
        <v>289</v>
      </c>
      <c r="C24" s="2">
        <v>1760</v>
      </c>
      <c r="E24" s="2" t="s">
        <v>191</v>
      </c>
    </row>
    <row r="25" spans="1:5" x14ac:dyDescent="0.3">
      <c r="A25" s="2" t="s">
        <v>329</v>
      </c>
      <c r="C25" s="2">
        <v>2560</v>
      </c>
      <c r="D25" s="2" t="s">
        <v>330</v>
      </c>
      <c r="E25" s="2" t="s">
        <v>211</v>
      </c>
    </row>
    <row r="26" spans="1:5" x14ac:dyDescent="0.3">
      <c r="A26" s="2" t="s">
        <v>331</v>
      </c>
      <c r="C26" s="2">
        <v>2272</v>
      </c>
      <c r="E26" s="2" t="s">
        <v>211</v>
      </c>
    </row>
    <row r="27" spans="1:5" x14ac:dyDescent="0.3">
      <c r="A27" s="3" t="s">
        <v>348</v>
      </c>
      <c r="B27" s="3"/>
      <c r="C27" s="3"/>
      <c r="D27" s="3"/>
      <c r="E27" s="3"/>
    </row>
    <row r="28" spans="1:5" x14ac:dyDescent="0.3">
      <c r="A28" s="2" t="s">
        <v>332</v>
      </c>
      <c r="C28" s="2">
        <v>3160</v>
      </c>
      <c r="D28" s="2" t="s">
        <v>333</v>
      </c>
      <c r="E28" s="2" t="s">
        <v>211</v>
      </c>
    </row>
    <row r="29" spans="1:5" x14ac:dyDescent="0.3">
      <c r="A29" s="2" t="s">
        <v>336</v>
      </c>
      <c r="C29" s="2">
        <v>20880</v>
      </c>
      <c r="E29" s="2" t="s">
        <v>194</v>
      </c>
    </row>
    <row r="30" spans="1:5" x14ac:dyDescent="0.3">
      <c r="A30" s="2" t="s">
        <v>367</v>
      </c>
      <c r="C30" s="2">
        <v>6300</v>
      </c>
      <c r="D30" s="2" t="s">
        <v>368</v>
      </c>
      <c r="E30" s="2" t="s">
        <v>191</v>
      </c>
    </row>
    <row r="31" spans="1:5" x14ac:dyDescent="0.3">
      <c r="A31" s="2" t="s">
        <v>334</v>
      </c>
      <c r="C31" s="2">
        <v>833</v>
      </c>
      <c r="E31" s="2" t="s">
        <v>211</v>
      </c>
    </row>
    <row r="32" spans="1:5" x14ac:dyDescent="0.3">
      <c r="A32" s="2" t="s">
        <v>335</v>
      </c>
      <c r="C32" s="2">
        <v>651</v>
      </c>
      <c r="E32" s="2" t="s">
        <v>211</v>
      </c>
    </row>
    <row r="33" spans="1:5" x14ac:dyDescent="0.3">
      <c r="A33" s="2" t="s">
        <v>259</v>
      </c>
      <c r="C33" s="2">
        <v>3450</v>
      </c>
      <c r="E33" s="2" t="s">
        <v>211</v>
      </c>
    </row>
    <row r="34" spans="1:5" x14ac:dyDescent="0.3">
      <c r="A34" s="3" t="s">
        <v>349</v>
      </c>
      <c r="B34" s="3"/>
      <c r="C34" s="3"/>
      <c r="D34" s="3"/>
      <c r="E34" s="3"/>
    </row>
    <row r="35" spans="1:5" x14ac:dyDescent="0.3">
      <c r="A35" s="2" t="s">
        <v>339</v>
      </c>
      <c r="C35" s="2">
        <v>440</v>
      </c>
      <c r="D35" s="2" t="s">
        <v>340</v>
      </c>
      <c r="E35" s="2" t="s">
        <v>211</v>
      </c>
    </row>
    <row r="36" spans="1:5" x14ac:dyDescent="0.3">
      <c r="A36" s="2" t="s">
        <v>341</v>
      </c>
      <c r="C36" s="2">
        <v>800</v>
      </c>
      <c r="D36" s="2" t="s">
        <v>342</v>
      </c>
      <c r="E36" s="2" t="s">
        <v>211</v>
      </c>
    </row>
    <row r="37" spans="1:5" x14ac:dyDescent="0.3">
      <c r="A37" s="2" t="s">
        <v>337</v>
      </c>
      <c r="C37" s="2">
        <v>600</v>
      </c>
      <c r="D37" s="2" t="s">
        <v>338</v>
      </c>
      <c r="E37" s="2" t="s">
        <v>194</v>
      </c>
    </row>
    <row r="38" spans="1:5" x14ac:dyDescent="0.3">
      <c r="A38" s="2" t="s">
        <v>343</v>
      </c>
      <c r="C38" s="2">
        <v>4675</v>
      </c>
      <c r="E38" s="2" t="s">
        <v>211</v>
      </c>
    </row>
    <row r="39" spans="1:5" x14ac:dyDescent="0.3">
      <c r="A39" s="2" t="s">
        <v>289</v>
      </c>
      <c r="C39" s="2">
        <v>3520</v>
      </c>
      <c r="E39" s="2" t="s">
        <v>191</v>
      </c>
    </row>
    <row r="40" spans="1:5" x14ac:dyDescent="0.3">
      <c r="A40" s="2" t="s">
        <v>344</v>
      </c>
      <c r="C40" s="2">
        <v>10823</v>
      </c>
      <c r="E40" s="2" t="s">
        <v>191</v>
      </c>
    </row>
    <row r="41" spans="1:5" x14ac:dyDescent="0.3">
      <c r="A41" s="2" t="s">
        <v>345</v>
      </c>
      <c r="C41" s="2">
        <v>4440</v>
      </c>
      <c r="E41" s="2" t="s">
        <v>211</v>
      </c>
    </row>
    <row r="42" spans="1:5" x14ac:dyDescent="0.3">
      <c r="A42" s="2" t="s">
        <v>346</v>
      </c>
      <c r="C42" s="2">
        <v>400</v>
      </c>
      <c r="D42" s="2" t="s">
        <v>347</v>
      </c>
      <c r="E42" s="2" t="s">
        <v>191</v>
      </c>
    </row>
    <row r="43" spans="1:5" x14ac:dyDescent="0.3">
      <c r="A43" s="3" t="s">
        <v>350</v>
      </c>
      <c r="B43" s="3"/>
      <c r="C43" s="3"/>
      <c r="D43" s="3"/>
      <c r="E43" s="3"/>
    </row>
    <row r="44" spans="1:5" x14ac:dyDescent="0.3">
      <c r="A44" s="2" t="s">
        <v>351</v>
      </c>
      <c r="C44" s="2">
        <v>1200</v>
      </c>
      <c r="D44" s="2" t="s">
        <v>352</v>
      </c>
      <c r="E44" s="2" t="s">
        <v>191</v>
      </c>
    </row>
    <row r="45" spans="1:5" x14ac:dyDescent="0.3">
      <c r="A45" s="2" t="s">
        <v>356</v>
      </c>
      <c r="C45" s="2">
        <v>800</v>
      </c>
      <c r="D45" s="2" t="s">
        <v>353</v>
      </c>
      <c r="E45" s="2" t="s">
        <v>191</v>
      </c>
    </row>
    <row r="46" spans="1:5" x14ac:dyDescent="0.3">
      <c r="A46" s="2" t="s">
        <v>355</v>
      </c>
      <c r="C46" s="2">
        <v>600</v>
      </c>
      <c r="D46" s="2" t="s">
        <v>354</v>
      </c>
      <c r="E46" s="2" t="s">
        <v>191</v>
      </c>
    </row>
    <row r="47" spans="1:5" x14ac:dyDescent="0.3">
      <c r="A47" s="2" t="s">
        <v>357</v>
      </c>
      <c r="C47" s="2">
        <v>949</v>
      </c>
      <c r="E47" s="2" t="s">
        <v>191</v>
      </c>
    </row>
    <row r="48" spans="1:5" x14ac:dyDescent="0.3">
      <c r="A48" s="2" t="s">
        <v>358</v>
      </c>
      <c r="C48" s="2">
        <v>3518</v>
      </c>
      <c r="D48" s="2" t="s">
        <v>360</v>
      </c>
      <c r="E48" s="2" t="s">
        <v>191</v>
      </c>
    </row>
    <row r="49" spans="1:5" x14ac:dyDescent="0.3">
      <c r="A49" s="2" t="s">
        <v>359</v>
      </c>
      <c r="C49" s="2">
        <v>7236</v>
      </c>
      <c r="D49" s="2" t="s">
        <v>361</v>
      </c>
      <c r="E49" s="2" t="s">
        <v>191</v>
      </c>
    </row>
    <row r="50" spans="1:5" x14ac:dyDescent="0.3">
      <c r="A50" s="2" t="s">
        <v>369</v>
      </c>
      <c r="C50" s="2">
        <v>5400</v>
      </c>
      <c r="E50" s="2" t="s">
        <v>191</v>
      </c>
    </row>
    <row r="51" spans="1:5" x14ac:dyDescent="0.3">
      <c r="A51" s="2" t="s">
        <v>362</v>
      </c>
      <c r="C51" s="2">
        <v>5290</v>
      </c>
      <c r="E51" s="2" t="s">
        <v>191</v>
      </c>
    </row>
    <row r="52" spans="1:5" x14ac:dyDescent="0.3">
      <c r="A52" s="2" t="s">
        <v>363</v>
      </c>
      <c r="C52" s="2">
        <v>1800</v>
      </c>
      <c r="E52" s="2" t="s">
        <v>191</v>
      </c>
    </row>
    <row r="53" spans="1:5" x14ac:dyDescent="0.3">
      <c r="A53" s="2" t="s">
        <v>364</v>
      </c>
      <c r="C53" s="2">
        <v>9600</v>
      </c>
      <c r="D53" s="2" t="s">
        <v>365</v>
      </c>
      <c r="E53" s="2" t="s">
        <v>191</v>
      </c>
    </row>
    <row r="54" spans="1:5" x14ac:dyDescent="0.3">
      <c r="A54" s="2" t="s">
        <v>302</v>
      </c>
      <c r="B54" s="2">
        <v>604</v>
      </c>
      <c r="E54" s="2" t="s">
        <v>209</v>
      </c>
    </row>
    <row r="55" spans="1:5" x14ac:dyDescent="0.3">
      <c r="A55" s="2" t="s">
        <v>294</v>
      </c>
      <c r="C55" s="2">
        <v>64200</v>
      </c>
      <c r="E55" s="2" t="s">
        <v>209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1CCC-C79C-411A-B5EE-26E7A4061F1D}">
  <dimension ref="A1:J103"/>
  <sheetViews>
    <sheetView workbookViewId="0">
      <selection activeCell="A100" sqref="A100"/>
    </sheetView>
  </sheetViews>
  <sheetFormatPr defaultRowHeight="16.2" x14ac:dyDescent="0.3"/>
  <cols>
    <col min="1" max="1" width="48.33203125" style="2" bestFit="1" customWidth="1"/>
    <col min="2" max="3" width="9" style="2"/>
    <col min="4" max="4" width="26.77734375" customWidth="1"/>
    <col min="7" max="7" width="10.88671875" bestFit="1" customWidth="1"/>
    <col min="8" max="8" width="11.44140625" customWidth="1"/>
    <col min="9" max="9" width="12.6640625" customWidth="1"/>
  </cols>
  <sheetData>
    <row r="1" spans="1:10" x14ac:dyDescent="0.3">
      <c r="A1" s="2" t="s">
        <v>2</v>
      </c>
      <c r="B1" s="2" t="s">
        <v>0</v>
      </c>
      <c r="C1" s="2" t="s">
        <v>381</v>
      </c>
      <c r="D1" s="2" t="s">
        <v>71</v>
      </c>
      <c r="E1" s="2" t="s">
        <v>210</v>
      </c>
      <c r="H1" s="2" t="s">
        <v>0</v>
      </c>
      <c r="I1" s="2" t="s">
        <v>499</v>
      </c>
      <c r="J1" s="2"/>
    </row>
    <row r="2" spans="1:10" x14ac:dyDescent="0.3">
      <c r="A2" s="11" t="s">
        <v>372</v>
      </c>
      <c r="B2" s="10">
        <v>10323</v>
      </c>
      <c r="E2" s="2" t="s">
        <v>209</v>
      </c>
      <c r="G2" s="2" t="s">
        <v>67</v>
      </c>
      <c r="H2">
        <f>SUM(B103+C103*23.34)</f>
        <v>54123.664199999999</v>
      </c>
    </row>
    <row r="3" spans="1:10" x14ac:dyDescent="0.3">
      <c r="A3" s="11" t="s">
        <v>391</v>
      </c>
      <c r="B3" s="10">
        <v>259</v>
      </c>
      <c r="G3" s="2" t="s">
        <v>215</v>
      </c>
      <c r="H3">
        <v>0</v>
      </c>
    </row>
    <row r="4" spans="1:10" x14ac:dyDescent="0.3">
      <c r="A4" s="3" t="s">
        <v>373</v>
      </c>
      <c r="B4" s="3"/>
      <c r="C4" s="3"/>
      <c r="D4" s="3"/>
      <c r="E4" s="3"/>
      <c r="G4" s="2" t="s">
        <v>209</v>
      </c>
    </row>
    <row r="5" spans="1:10" x14ac:dyDescent="0.3">
      <c r="A5" s="11" t="s">
        <v>413</v>
      </c>
      <c r="C5" s="2">
        <v>20</v>
      </c>
      <c r="D5" s="2" t="s">
        <v>414</v>
      </c>
      <c r="E5" s="2" t="s">
        <v>209</v>
      </c>
      <c r="G5" s="2" t="s">
        <v>417</v>
      </c>
    </row>
    <row r="6" spans="1:10" x14ac:dyDescent="0.3">
      <c r="A6" s="11" t="s">
        <v>504</v>
      </c>
      <c r="B6" s="2">
        <v>3490</v>
      </c>
      <c r="D6" s="2"/>
      <c r="E6" s="2" t="s">
        <v>191</v>
      </c>
      <c r="G6" s="2" t="s">
        <v>191</v>
      </c>
    </row>
    <row r="7" spans="1:10" x14ac:dyDescent="0.3">
      <c r="A7" s="11" t="s">
        <v>631</v>
      </c>
      <c r="B7" s="2">
        <v>580</v>
      </c>
      <c r="D7" s="2"/>
      <c r="E7" s="2" t="s">
        <v>191</v>
      </c>
      <c r="G7" s="2" t="s">
        <v>194</v>
      </c>
    </row>
    <row r="8" spans="1:10" x14ac:dyDescent="0.3">
      <c r="A8" s="11" t="s">
        <v>415</v>
      </c>
      <c r="C8" s="2">
        <v>20</v>
      </c>
      <c r="D8" s="2" t="s">
        <v>416</v>
      </c>
      <c r="E8" s="2" t="s">
        <v>417</v>
      </c>
    </row>
    <row r="9" spans="1:10" x14ac:dyDescent="0.3">
      <c r="A9" s="11" t="s">
        <v>418</v>
      </c>
      <c r="D9" s="2" t="s">
        <v>419</v>
      </c>
      <c r="E9" s="2" t="s">
        <v>209</v>
      </c>
    </row>
    <row r="10" spans="1:10" x14ac:dyDescent="0.3">
      <c r="A10" s="11" t="s">
        <v>420</v>
      </c>
      <c r="C10" s="2">
        <v>32</v>
      </c>
      <c r="D10" s="2"/>
      <c r="E10" s="2" t="s">
        <v>194</v>
      </c>
    </row>
    <row r="11" spans="1:10" x14ac:dyDescent="0.3">
      <c r="A11" s="11" t="s">
        <v>421</v>
      </c>
      <c r="D11" s="2" t="s">
        <v>414</v>
      </c>
      <c r="E11" s="2" t="s">
        <v>209</v>
      </c>
    </row>
    <row r="12" spans="1:10" x14ac:dyDescent="0.3">
      <c r="A12" s="11" t="s">
        <v>422</v>
      </c>
      <c r="C12" s="2">
        <v>37.5</v>
      </c>
      <c r="D12" s="2" t="s">
        <v>423</v>
      </c>
      <c r="E12" s="2" t="s">
        <v>417</v>
      </c>
    </row>
    <row r="13" spans="1:10" x14ac:dyDescent="0.3">
      <c r="A13" s="11" t="s">
        <v>424</v>
      </c>
      <c r="D13" s="2" t="s">
        <v>419</v>
      </c>
      <c r="E13" s="2" t="s">
        <v>209</v>
      </c>
    </row>
    <row r="14" spans="1:10" x14ac:dyDescent="0.3">
      <c r="D14" s="2"/>
      <c r="E14" s="2"/>
    </row>
    <row r="15" spans="1:10" x14ac:dyDescent="0.3">
      <c r="A15" s="3" t="s">
        <v>374</v>
      </c>
      <c r="B15" s="3"/>
      <c r="C15" s="3"/>
      <c r="D15" s="3"/>
      <c r="E15" s="3"/>
    </row>
    <row r="16" spans="1:10" x14ac:dyDescent="0.3">
      <c r="A16" s="11" t="s">
        <v>425</v>
      </c>
      <c r="C16" s="2">
        <v>14</v>
      </c>
      <c r="D16" s="2" t="s">
        <v>426</v>
      </c>
      <c r="E16" s="2" t="s">
        <v>417</v>
      </c>
    </row>
    <row r="17" spans="1:5" x14ac:dyDescent="0.3">
      <c r="A17" s="11" t="s">
        <v>427</v>
      </c>
      <c r="D17" s="2" t="s">
        <v>419</v>
      </c>
      <c r="E17" s="2" t="s">
        <v>209</v>
      </c>
    </row>
    <row r="18" spans="1:5" x14ac:dyDescent="0.3">
      <c r="A18" s="11" t="s">
        <v>428</v>
      </c>
      <c r="C18" s="2">
        <v>10</v>
      </c>
      <c r="D18" s="2"/>
      <c r="E18" s="2" t="s">
        <v>194</v>
      </c>
    </row>
    <row r="19" spans="1:5" x14ac:dyDescent="0.3">
      <c r="A19" s="11" t="s">
        <v>429</v>
      </c>
      <c r="D19" s="2" t="s">
        <v>414</v>
      </c>
      <c r="E19" s="2" t="s">
        <v>209</v>
      </c>
    </row>
    <row r="20" spans="1:5" x14ac:dyDescent="0.3">
      <c r="A20" s="11" t="s">
        <v>430</v>
      </c>
      <c r="C20" s="2">
        <v>39.25</v>
      </c>
      <c r="D20" s="2" t="s">
        <v>431</v>
      </c>
      <c r="E20" s="2" t="s">
        <v>417</v>
      </c>
    </row>
    <row r="21" spans="1:5" x14ac:dyDescent="0.3">
      <c r="A21" s="11" t="s">
        <v>432</v>
      </c>
      <c r="D21" s="2" t="s">
        <v>419</v>
      </c>
      <c r="E21" s="2" t="s">
        <v>209</v>
      </c>
    </row>
    <row r="22" spans="1:5" x14ac:dyDescent="0.3">
      <c r="A22" s="11" t="s">
        <v>433</v>
      </c>
      <c r="D22" s="2" t="s">
        <v>414</v>
      </c>
      <c r="E22" s="2" t="s">
        <v>209</v>
      </c>
    </row>
    <row r="23" spans="1:5" x14ac:dyDescent="0.3">
      <c r="A23" s="11" t="s">
        <v>434</v>
      </c>
      <c r="C23" s="2">
        <v>20</v>
      </c>
      <c r="D23" s="2" t="s">
        <v>416</v>
      </c>
      <c r="E23" s="2" t="s">
        <v>417</v>
      </c>
    </row>
    <row r="24" spans="1:5" x14ac:dyDescent="0.3">
      <c r="A24" s="11" t="s">
        <v>435</v>
      </c>
      <c r="C24" s="2">
        <v>11.9</v>
      </c>
      <c r="D24" s="2" t="s">
        <v>436</v>
      </c>
      <c r="E24" s="2" t="s">
        <v>417</v>
      </c>
    </row>
    <row r="25" spans="1:5" x14ac:dyDescent="0.3">
      <c r="A25" s="11" t="s">
        <v>437</v>
      </c>
      <c r="D25" s="2" t="s">
        <v>414</v>
      </c>
      <c r="E25" s="2" t="s">
        <v>209</v>
      </c>
    </row>
    <row r="26" spans="1:5" x14ac:dyDescent="0.3">
      <c r="A26" s="11" t="s">
        <v>438</v>
      </c>
      <c r="C26" s="2">
        <v>30</v>
      </c>
      <c r="D26" s="2" t="s">
        <v>439</v>
      </c>
      <c r="E26" s="2" t="s">
        <v>417</v>
      </c>
    </row>
    <row r="27" spans="1:5" x14ac:dyDescent="0.3">
      <c r="A27" s="11" t="s">
        <v>440</v>
      </c>
      <c r="D27" s="2" t="s">
        <v>414</v>
      </c>
      <c r="E27" s="2" t="s">
        <v>209</v>
      </c>
    </row>
    <row r="28" spans="1:5" x14ac:dyDescent="0.3">
      <c r="D28" s="2"/>
      <c r="E28" s="2"/>
    </row>
    <row r="29" spans="1:5" x14ac:dyDescent="0.3">
      <c r="A29" s="3" t="s">
        <v>375</v>
      </c>
      <c r="B29" s="3"/>
      <c r="C29" s="3"/>
      <c r="D29" s="3"/>
      <c r="E29" s="3"/>
    </row>
    <row r="30" spans="1:5" x14ac:dyDescent="0.3">
      <c r="A30" s="11" t="s">
        <v>382</v>
      </c>
      <c r="C30" s="2">
        <v>298</v>
      </c>
      <c r="E30" s="2" t="s">
        <v>194</v>
      </c>
    </row>
    <row r="31" spans="1:5" x14ac:dyDescent="0.3">
      <c r="A31" s="11" t="s">
        <v>441</v>
      </c>
      <c r="C31" s="2">
        <v>6.3</v>
      </c>
      <c r="D31" s="2" t="s">
        <v>442</v>
      </c>
      <c r="E31" s="2" t="s">
        <v>417</v>
      </c>
    </row>
    <row r="32" spans="1:5" x14ac:dyDescent="0.3">
      <c r="A32" s="11" t="s">
        <v>443</v>
      </c>
      <c r="D32" s="2" t="s">
        <v>419</v>
      </c>
      <c r="E32" s="2" t="s">
        <v>209</v>
      </c>
    </row>
    <row r="33" spans="1:5" x14ac:dyDescent="0.3">
      <c r="A33" s="11" t="s">
        <v>444</v>
      </c>
      <c r="D33" s="2" t="s">
        <v>419</v>
      </c>
      <c r="E33" s="2" t="s">
        <v>209</v>
      </c>
    </row>
    <row r="34" spans="1:5" x14ac:dyDescent="0.3">
      <c r="A34" s="11" t="s">
        <v>415</v>
      </c>
      <c r="C34" s="2">
        <v>39</v>
      </c>
      <c r="D34" s="2" t="s">
        <v>416</v>
      </c>
      <c r="E34" s="2" t="s">
        <v>417</v>
      </c>
    </row>
    <row r="35" spans="1:5" x14ac:dyDescent="0.3">
      <c r="A35" s="11" t="s">
        <v>445</v>
      </c>
      <c r="D35" s="2" t="s">
        <v>419</v>
      </c>
      <c r="E35" s="2" t="s">
        <v>209</v>
      </c>
    </row>
    <row r="36" spans="1:5" x14ac:dyDescent="0.3">
      <c r="A36" s="11" t="s">
        <v>446</v>
      </c>
      <c r="C36" s="2">
        <v>15</v>
      </c>
      <c r="D36" s="2"/>
      <c r="E36" s="2" t="s">
        <v>194</v>
      </c>
    </row>
    <row r="37" spans="1:5" x14ac:dyDescent="0.3">
      <c r="A37" s="11" t="s">
        <v>447</v>
      </c>
      <c r="D37" s="2" t="s">
        <v>414</v>
      </c>
      <c r="E37" s="2" t="s">
        <v>209</v>
      </c>
    </row>
    <row r="38" spans="1:5" x14ac:dyDescent="0.3">
      <c r="A38" s="11" t="s">
        <v>448</v>
      </c>
      <c r="C38" s="2">
        <v>4.5</v>
      </c>
      <c r="D38" s="2" t="s">
        <v>449</v>
      </c>
      <c r="E38" s="2" t="s">
        <v>417</v>
      </c>
    </row>
    <row r="39" spans="1:5" x14ac:dyDescent="0.3">
      <c r="A39" s="11" t="s">
        <v>450</v>
      </c>
      <c r="C39" s="2">
        <v>19.625</v>
      </c>
      <c r="D39" s="2" t="s">
        <v>451</v>
      </c>
      <c r="E39" s="2" t="s">
        <v>417</v>
      </c>
    </row>
    <row r="40" spans="1:5" x14ac:dyDescent="0.3">
      <c r="A40" s="11" t="s">
        <v>452</v>
      </c>
      <c r="D40" s="2" t="s">
        <v>419</v>
      </c>
      <c r="E40" s="2" t="s">
        <v>209</v>
      </c>
    </row>
    <row r="41" spans="1:5" x14ac:dyDescent="0.3">
      <c r="A41" s="11" t="s">
        <v>453</v>
      </c>
      <c r="D41" s="2" t="s">
        <v>414</v>
      </c>
      <c r="E41" s="2" t="s">
        <v>209</v>
      </c>
    </row>
    <row r="42" spans="1:5" x14ac:dyDescent="0.3">
      <c r="A42" s="11" t="s">
        <v>438</v>
      </c>
      <c r="C42" s="2">
        <v>30</v>
      </c>
      <c r="D42" s="2" t="s">
        <v>454</v>
      </c>
      <c r="E42" s="2" t="s">
        <v>417</v>
      </c>
    </row>
    <row r="43" spans="1:5" x14ac:dyDescent="0.3">
      <c r="A43" s="11" t="s">
        <v>455</v>
      </c>
      <c r="D43" s="2" t="s">
        <v>414</v>
      </c>
      <c r="E43" s="2" t="s">
        <v>209</v>
      </c>
    </row>
    <row r="44" spans="1:5" x14ac:dyDescent="0.3">
      <c r="D44" s="2"/>
      <c r="E44" s="2"/>
    </row>
    <row r="45" spans="1:5" x14ac:dyDescent="0.3">
      <c r="A45" s="3" t="s">
        <v>376</v>
      </c>
      <c r="B45" s="3"/>
      <c r="C45" s="3"/>
      <c r="D45" s="3"/>
      <c r="E45" s="3"/>
    </row>
    <row r="46" spans="1:5" x14ac:dyDescent="0.3">
      <c r="A46" s="11" t="s">
        <v>456</v>
      </c>
      <c r="C46" s="2">
        <v>20</v>
      </c>
      <c r="D46" s="2" t="s">
        <v>457</v>
      </c>
      <c r="E46" s="2" t="s">
        <v>417</v>
      </c>
    </row>
    <row r="47" spans="1:5" x14ac:dyDescent="0.3">
      <c r="A47" s="11" t="s">
        <v>458</v>
      </c>
      <c r="D47" s="2" t="s">
        <v>419</v>
      </c>
      <c r="E47" s="2" t="s">
        <v>209</v>
      </c>
    </row>
    <row r="48" spans="1:5" x14ac:dyDescent="0.3">
      <c r="A48" s="11" t="s">
        <v>459</v>
      </c>
      <c r="D48" s="2" t="s">
        <v>460</v>
      </c>
      <c r="E48" s="2" t="s">
        <v>209</v>
      </c>
    </row>
    <row r="49" spans="1:5" x14ac:dyDescent="0.3">
      <c r="A49" s="11" t="s">
        <v>461</v>
      </c>
      <c r="C49" s="2">
        <v>10</v>
      </c>
      <c r="D49" s="2"/>
      <c r="E49" s="2" t="s">
        <v>194</v>
      </c>
    </row>
    <row r="50" spans="1:5" x14ac:dyDescent="0.3">
      <c r="A50" s="11" t="s">
        <v>462</v>
      </c>
      <c r="C50" s="2">
        <v>3.5</v>
      </c>
      <c r="D50" s="2" t="s">
        <v>463</v>
      </c>
      <c r="E50" s="2" t="s">
        <v>417</v>
      </c>
    </row>
    <row r="51" spans="1:5" x14ac:dyDescent="0.3">
      <c r="A51" s="11" t="s">
        <v>464</v>
      </c>
      <c r="C51" s="2">
        <v>6.335</v>
      </c>
      <c r="D51" s="2" t="s">
        <v>465</v>
      </c>
      <c r="E51" s="2" t="s">
        <v>417</v>
      </c>
    </row>
    <row r="52" spans="1:5" x14ac:dyDescent="0.3">
      <c r="A52" s="11" t="s">
        <v>438</v>
      </c>
      <c r="C52" s="2">
        <v>19.04</v>
      </c>
      <c r="D52" s="2" t="s">
        <v>466</v>
      </c>
      <c r="E52" s="2" t="s">
        <v>417</v>
      </c>
    </row>
    <row r="53" spans="1:5" x14ac:dyDescent="0.3">
      <c r="A53" s="11" t="s">
        <v>467</v>
      </c>
      <c r="D53" s="2" t="s">
        <v>419</v>
      </c>
      <c r="E53" s="2" t="s">
        <v>209</v>
      </c>
    </row>
    <row r="54" spans="1:5" x14ac:dyDescent="0.3">
      <c r="A54" s="11" t="s">
        <v>468</v>
      </c>
      <c r="C54" s="2">
        <v>13</v>
      </c>
      <c r="D54" s="2" t="s">
        <v>469</v>
      </c>
      <c r="E54" s="2" t="s">
        <v>417</v>
      </c>
    </row>
    <row r="55" spans="1:5" x14ac:dyDescent="0.3">
      <c r="D55" s="2"/>
      <c r="E55" s="2"/>
    </row>
    <row r="56" spans="1:5" x14ac:dyDescent="0.3">
      <c r="A56" s="3" t="s">
        <v>377</v>
      </c>
      <c r="B56" s="3"/>
      <c r="C56" s="3"/>
      <c r="D56" s="3"/>
      <c r="E56" s="3"/>
    </row>
    <row r="57" spans="1:5" x14ac:dyDescent="0.3">
      <c r="A57" s="11" t="s">
        <v>336</v>
      </c>
      <c r="C57" s="2">
        <v>195</v>
      </c>
      <c r="D57" s="2"/>
      <c r="E57" s="2" t="s">
        <v>194</v>
      </c>
    </row>
    <row r="58" spans="1:5" x14ac:dyDescent="0.3">
      <c r="A58" s="11" t="s">
        <v>470</v>
      </c>
      <c r="D58" s="2" t="s">
        <v>419</v>
      </c>
      <c r="E58" s="2" t="s">
        <v>209</v>
      </c>
    </row>
    <row r="59" spans="1:5" x14ac:dyDescent="0.3">
      <c r="A59" s="11" t="s">
        <v>471</v>
      </c>
      <c r="C59" s="2">
        <v>9.74</v>
      </c>
      <c r="D59" s="2" t="s">
        <v>472</v>
      </c>
      <c r="E59" s="2" t="s">
        <v>417</v>
      </c>
    </row>
    <row r="60" spans="1:5" x14ac:dyDescent="0.3">
      <c r="A60" s="11" t="s">
        <v>473</v>
      </c>
      <c r="D60" s="2" t="s">
        <v>419</v>
      </c>
      <c r="E60" s="2" t="s">
        <v>209</v>
      </c>
    </row>
    <row r="61" spans="1:5" x14ac:dyDescent="0.3">
      <c r="A61" s="11" t="s">
        <v>474</v>
      </c>
      <c r="D61" s="2" t="s">
        <v>419</v>
      </c>
      <c r="E61" s="2" t="s">
        <v>209</v>
      </c>
    </row>
    <row r="62" spans="1:5" x14ac:dyDescent="0.3">
      <c r="A62" s="11" t="s">
        <v>500</v>
      </c>
      <c r="C62" s="2">
        <v>7.5</v>
      </c>
      <c r="D62" s="2" t="s">
        <v>500</v>
      </c>
      <c r="E62" s="2" t="s">
        <v>417</v>
      </c>
    </row>
    <row r="63" spans="1:5" x14ac:dyDescent="0.3">
      <c r="A63" s="11" t="s">
        <v>501</v>
      </c>
      <c r="C63" s="2">
        <v>5.5</v>
      </c>
      <c r="D63" s="2" t="s">
        <v>502</v>
      </c>
      <c r="E63" s="2" t="s">
        <v>417</v>
      </c>
    </row>
    <row r="64" spans="1:5" x14ac:dyDescent="0.3">
      <c r="A64" s="11" t="s">
        <v>475</v>
      </c>
      <c r="D64" s="2" t="s">
        <v>419</v>
      </c>
      <c r="E64" s="2" t="s">
        <v>209</v>
      </c>
    </row>
    <row r="65" spans="1:5" x14ac:dyDescent="0.3">
      <c r="A65" s="11" t="s">
        <v>476</v>
      </c>
      <c r="D65" s="2" t="s">
        <v>419</v>
      </c>
      <c r="E65" s="2" t="s">
        <v>209</v>
      </c>
    </row>
    <row r="66" spans="1:5" x14ac:dyDescent="0.3">
      <c r="A66" s="11" t="s">
        <v>477</v>
      </c>
      <c r="C66" s="2">
        <v>75</v>
      </c>
      <c r="E66" s="2" t="s">
        <v>12</v>
      </c>
    </row>
    <row r="67" spans="1:5" x14ac:dyDescent="0.3">
      <c r="A67" s="11" t="s">
        <v>453</v>
      </c>
      <c r="D67" s="2" t="s">
        <v>414</v>
      </c>
      <c r="E67" s="2" t="s">
        <v>209</v>
      </c>
    </row>
    <row r="68" spans="1:5" x14ac:dyDescent="0.3">
      <c r="A68" s="11" t="s">
        <v>438</v>
      </c>
      <c r="C68" s="2">
        <v>30</v>
      </c>
      <c r="D68" s="2" t="s">
        <v>454</v>
      </c>
      <c r="E68" s="2" t="s">
        <v>417</v>
      </c>
    </row>
    <row r="69" spans="1:5" x14ac:dyDescent="0.3">
      <c r="A69" s="11" t="s">
        <v>478</v>
      </c>
      <c r="D69" s="2" t="s">
        <v>414</v>
      </c>
      <c r="E69" s="2" t="s">
        <v>209</v>
      </c>
    </row>
    <row r="70" spans="1:5" x14ac:dyDescent="0.3">
      <c r="D70" s="2"/>
      <c r="E70" s="2"/>
    </row>
    <row r="71" spans="1:5" x14ac:dyDescent="0.3">
      <c r="A71" s="3" t="s">
        <v>378</v>
      </c>
      <c r="B71" s="3"/>
      <c r="C71" s="3"/>
      <c r="D71" s="3"/>
      <c r="E71" s="3"/>
    </row>
    <row r="72" spans="1:5" x14ac:dyDescent="0.3">
      <c r="A72" s="11" t="s">
        <v>399</v>
      </c>
      <c r="C72" s="2">
        <v>110</v>
      </c>
      <c r="D72" s="2"/>
      <c r="E72" s="2" t="s">
        <v>194</v>
      </c>
    </row>
    <row r="73" spans="1:5" x14ac:dyDescent="0.3">
      <c r="A73" s="11" t="s">
        <v>479</v>
      </c>
      <c r="C73" s="2">
        <v>5.8</v>
      </c>
      <c r="D73" s="2" t="s">
        <v>480</v>
      </c>
      <c r="E73" s="2" t="s">
        <v>417</v>
      </c>
    </row>
    <row r="74" spans="1:5" x14ac:dyDescent="0.3">
      <c r="A74" s="11" t="s">
        <v>481</v>
      </c>
      <c r="D74" s="2" t="s">
        <v>482</v>
      </c>
      <c r="E74" s="2" t="s">
        <v>209</v>
      </c>
    </row>
    <row r="75" spans="1:5" x14ac:dyDescent="0.3">
      <c r="A75" s="11" t="s">
        <v>483</v>
      </c>
      <c r="D75" s="2" t="s">
        <v>460</v>
      </c>
      <c r="E75" s="2" t="s">
        <v>209</v>
      </c>
    </row>
    <row r="76" spans="1:5" x14ac:dyDescent="0.3">
      <c r="A76" s="11" t="s">
        <v>503</v>
      </c>
      <c r="D76" s="2" t="s">
        <v>482</v>
      </c>
      <c r="E76" s="2" t="s">
        <v>209</v>
      </c>
    </row>
    <row r="77" spans="1:5" x14ac:dyDescent="0.3">
      <c r="A77" s="11" t="s">
        <v>484</v>
      </c>
      <c r="C77" s="2">
        <v>11.95</v>
      </c>
      <c r="D77" s="2" t="s">
        <v>485</v>
      </c>
      <c r="E77" s="2" t="s">
        <v>417</v>
      </c>
    </row>
    <row r="78" spans="1:5" x14ac:dyDescent="0.3">
      <c r="D78" s="2"/>
      <c r="E78" s="2"/>
    </row>
    <row r="79" spans="1:5" x14ac:dyDescent="0.3">
      <c r="A79" s="3" t="s">
        <v>379</v>
      </c>
      <c r="B79" s="3"/>
      <c r="C79" s="3"/>
      <c r="D79" s="3"/>
      <c r="E79" s="3"/>
    </row>
    <row r="80" spans="1:5" x14ac:dyDescent="0.3">
      <c r="A80" s="11" t="s">
        <v>486</v>
      </c>
      <c r="D80" s="2" t="s">
        <v>403</v>
      </c>
      <c r="E80" s="2" t="s">
        <v>400</v>
      </c>
    </row>
    <row r="81" spans="1:5" x14ac:dyDescent="0.3">
      <c r="A81" s="11" t="s">
        <v>487</v>
      </c>
      <c r="C81" s="2">
        <v>4</v>
      </c>
      <c r="D81" s="2" t="s">
        <v>488</v>
      </c>
      <c r="E81" s="2" t="s">
        <v>417</v>
      </c>
    </row>
    <row r="82" spans="1:5" x14ac:dyDescent="0.3">
      <c r="A82" s="11" t="s">
        <v>489</v>
      </c>
      <c r="C82" s="2">
        <v>1.5</v>
      </c>
      <c r="D82" s="2" t="s">
        <v>488</v>
      </c>
      <c r="E82" s="2" t="s">
        <v>417</v>
      </c>
    </row>
    <row r="83" spans="1:5" x14ac:dyDescent="0.3">
      <c r="A83" s="11" t="s">
        <v>490</v>
      </c>
      <c r="D83" s="2" t="s">
        <v>419</v>
      </c>
      <c r="E83" s="2" t="s">
        <v>209</v>
      </c>
    </row>
    <row r="84" spans="1:5" x14ac:dyDescent="0.3">
      <c r="A84" s="11" t="s">
        <v>491</v>
      </c>
      <c r="C84" s="2">
        <v>27</v>
      </c>
      <c r="D84" s="2"/>
      <c r="E84" s="2" t="s">
        <v>194</v>
      </c>
    </row>
    <row r="85" spans="1:5" x14ac:dyDescent="0.3">
      <c r="A85" s="11" t="s">
        <v>492</v>
      </c>
      <c r="D85" s="2" t="s">
        <v>414</v>
      </c>
      <c r="E85" s="2" t="s">
        <v>209</v>
      </c>
    </row>
    <row r="86" spans="1:5" x14ac:dyDescent="0.3">
      <c r="A86" s="11" t="s">
        <v>407</v>
      </c>
      <c r="C86" s="2">
        <v>65.5</v>
      </c>
      <c r="E86" s="2" t="s">
        <v>191</v>
      </c>
    </row>
    <row r="87" spans="1:5" x14ac:dyDescent="0.3">
      <c r="A87" s="11" t="s">
        <v>493</v>
      </c>
      <c r="C87" s="2">
        <v>3</v>
      </c>
      <c r="D87" s="2" t="s">
        <v>406</v>
      </c>
      <c r="E87" s="2" t="s">
        <v>402</v>
      </c>
    </row>
    <row r="88" spans="1:5" x14ac:dyDescent="0.3">
      <c r="A88" s="11" t="s">
        <v>494</v>
      </c>
      <c r="C88" s="2">
        <v>9.9</v>
      </c>
      <c r="E88" s="2" t="s">
        <v>12</v>
      </c>
    </row>
    <row r="89" spans="1:5" x14ac:dyDescent="0.3">
      <c r="A89" s="11" t="s">
        <v>495</v>
      </c>
      <c r="C89" s="2">
        <v>59.8</v>
      </c>
      <c r="E89" s="2" t="s">
        <v>12</v>
      </c>
    </row>
    <row r="90" spans="1:5" x14ac:dyDescent="0.3">
      <c r="A90" s="11" t="s">
        <v>496</v>
      </c>
      <c r="D90" s="2" t="s">
        <v>419</v>
      </c>
      <c r="E90" s="2" t="s">
        <v>209</v>
      </c>
    </row>
    <row r="91" spans="1:5" x14ac:dyDescent="0.3">
      <c r="A91" s="11" t="s">
        <v>434</v>
      </c>
      <c r="C91" s="2">
        <v>30</v>
      </c>
      <c r="D91" s="2" t="s">
        <v>416</v>
      </c>
      <c r="E91" s="2" t="s">
        <v>417</v>
      </c>
    </row>
    <row r="92" spans="1:5" x14ac:dyDescent="0.3">
      <c r="A92" s="11" t="s">
        <v>497</v>
      </c>
      <c r="D92" s="2" t="s">
        <v>414</v>
      </c>
      <c r="E92" s="2" t="s">
        <v>209</v>
      </c>
    </row>
    <row r="93" spans="1:5" x14ac:dyDescent="0.3">
      <c r="A93" s="11" t="s">
        <v>404</v>
      </c>
      <c r="C93" s="2">
        <v>45</v>
      </c>
      <c r="D93" s="2" t="s">
        <v>405</v>
      </c>
      <c r="E93" s="2" t="s">
        <v>402</v>
      </c>
    </row>
    <row r="94" spans="1:5" x14ac:dyDescent="0.3">
      <c r="A94" s="11" t="s">
        <v>478</v>
      </c>
      <c r="D94" s="2" t="s">
        <v>401</v>
      </c>
      <c r="E94" s="2" t="s">
        <v>400</v>
      </c>
    </row>
    <row r="96" spans="1:5" x14ac:dyDescent="0.3">
      <c r="A96" s="3" t="s">
        <v>380</v>
      </c>
      <c r="B96" s="3"/>
      <c r="C96" s="3"/>
      <c r="D96" s="3"/>
      <c r="E96" s="3"/>
    </row>
    <row r="97" spans="1:5" x14ac:dyDescent="0.3">
      <c r="A97" s="11" t="s">
        <v>408</v>
      </c>
      <c r="C97" s="2">
        <v>7.3</v>
      </c>
      <c r="D97" s="2" t="s">
        <v>412</v>
      </c>
      <c r="E97" s="2" t="s">
        <v>402</v>
      </c>
    </row>
    <row r="98" spans="1:5" x14ac:dyDescent="0.3">
      <c r="A98" s="11" t="s">
        <v>409</v>
      </c>
      <c r="C98" s="2">
        <v>87.29</v>
      </c>
      <c r="E98" s="2" t="s">
        <v>191</v>
      </c>
    </row>
    <row r="99" spans="1:5" x14ac:dyDescent="0.3">
      <c r="A99" s="11" t="s">
        <v>410</v>
      </c>
      <c r="C99" s="2">
        <v>29</v>
      </c>
      <c r="D99" s="2" t="s">
        <v>401</v>
      </c>
      <c r="E99" s="2" t="s">
        <v>400</v>
      </c>
    </row>
    <row r="100" spans="1:5" x14ac:dyDescent="0.3">
      <c r="A100" s="11" t="s">
        <v>505</v>
      </c>
      <c r="B100" s="2">
        <v>3420</v>
      </c>
      <c r="D100" s="2"/>
      <c r="E100" s="2" t="s">
        <v>191</v>
      </c>
    </row>
    <row r="101" spans="1:5" x14ac:dyDescent="0.3">
      <c r="A101" s="11" t="s">
        <v>411</v>
      </c>
      <c r="C101" s="2">
        <v>5.9</v>
      </c>
      <c r="E101" s="2" t="s">
        <v>191</v>
      </c>
    </row>
    <row r="102" spans="1:5" x14ac:dyDescent="0.3">
      <c r="B102" s="2" t="s">
        <v>0</v>
      </c>
      <c r="C102" s="2" t="s">
        <v>381</v>
      </c>
      <c r="D102" s="2"/>
      <c r="E102" s="2"/>
    </row>
    <row r="103" spans="1:5" x14ac:dyDescent="0.3">
      <c r="A103" s="2" t="s">
        <v>498</v>
      </c>
      <c r="B103" s="10">
        <f>SUM(B2:B102)</f>
        <v>18072</v>
      </c>
      <c r="C103" s="10">
        <f>SUM(C2:C102)</f>
        <v>1544.63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F427-FBB0-40F7-BD82-BF875A5E305E}">
  <dimension ref="A1:I117"/>
  <sheetViews>
    <sheetView workbookViewId="0">
      <selection activeCell="A105" sqref="A105"/>
    </sheetView>
  </sheetViews>
  <sheetFormatPr defaultRowHeight="16.2" x14ac:dyDescent="0.3"/>
  <cols>
    <col min="1" max="1" width="59" style="2" bestFit="1" customWidth="1"/>
    <col min="4" max="4" width="44.77734375" style="2" customWidth="1"/>
    <col min="8" max="8" width="9.44140625" bestFit="1" customWidth="1"/>
    <col min="9" max="9" width="12.21875" bestFit="1" customWidth="1"/>
  </cols>
  <sheetData>
    <row r="1" spans="1:9" x14ac:dyDescent="0.3">
      <c r="A1" s="2" t="s">
        <v>2</v>
      </c>
      <c r="B1" s="2" t="s">
        <v>0</v>
      </c>
      <c r="C1" s="2" t="s">
        <v>1</v>
      </c>
      <c r="D1" s="2" t="s">
        <v>71</v>
      </c>
      <c r="E1" s="2" t="s">
        <v>210</v>
      </c>
      <c r="H1" s="2" t="s">
        <v>0</v>
      </c>
      <c r="I1" s="2" t="s">
        <v>506</v>
      </c>
    </row>
    <row r="2" spans="1:9" x14ac:dyDescent="0.3">
      <c r="A2" s="11" t="s">
        <v>370</v>
      </c>
      <c r="B2">
        <v>9043</v>
      </c>
      <c r="E2" s="2" t="s">
        <v>209</v>
      </c>
      <c r="G2" s="2" t="s">
        <v>67</v>
      </c>
      <c r="H2">
        <f>SUM(B2:B117)+SUM(C2:C117)*0.22</f>
        <v>67662.22</v>
      </c>
    </row>
    <row r="3" spans="1:9" x14ac:dyDescent="0.3">
      <c r="A3" s="12" t="s">
        <v>393</v>
      </c>
      <c r="C3">
        <v>23343</v>
      </c>
      <c r="E3" s="2" t="s">
        <v>215</v>
      </c>
      <c r="G3" s="2" t="s">
        <v>215</v>
      </c>
      <c r="H3">
        <f>SUM(C3+C4)*0.22+B5</f>
        <v>15545.22</v>
      </c>
    </row>
    <row r="4" spans="1:9" x14ac:dyDescent="0.3">
      <c r="A4" s="11" t="s">
        <v>392</v>
      </c>
      <c r="C4">
        <v>46008</v>
      </c>
      <c r="E4" s="2" t="s">
        <v>215</v>
      </c>
      <c r="G4" s="2" t="s">
        <v>209</v>
      </c>
      <c r="H4">
        <f>B7+B2+SUM(C18+C25+C28+C33+C35+C36+C41+C42+C45+C48+C49+C52+C54+C55+C56+C62+C64+C66+C71+C77+C87+C93+C94+C99+C101+C106)*0.22</f>
        <v>11856</v>
      </c>
    </row>
    <row r="5" spans="1:9" x14ac:dyDescent="0.3">
      <c r="A5" s="11" t="s">
        <v>391</v>
      </c>
      <c r="B5">
        <v>288</v>
      </c>
      <c r="E5" s="2"/>
      <c r="G5" s="2" t="s">
        <v>417</v>
      </c>
      <c r="H5">
        <f>SUM(B8+B9)+SUM(C10+C11+C12+C13+C14+C17+C21+C22+C26+C32+C40+C43+C50+C53+C27+C58+C65+C69+C70+C73+C78+C79+C80+C82+C81+C83+C84+C85+C86+C88+C89+C95+C98+C100+C104+C108)*0.22</f>
        <v>12207.7</v>
      </c>
    </row>
    <row r="6" spans="1:9" x14ac:dyDescent="0.3">
      <c r="A6" s="3" t="s">
        <v>383</v>
      </c>
      <c r="B6" s="3"/>
      <c r="C6" s="3"/>
      <c r="D6" s="3"/>
      <c r="E6" s="3"/>
      <c r="G6" s="2" t="s">
        <v>191</v>
      </c>
      <c r="H6">
        <f>SUM(C24+C37+C38+C39+C44+C57+C59+C63+C68+C102+C103+C105+C107+C112+C113+C115+C114+C116+C117+C109)*0.22</f>
        <v>23970.98</v>
      </c>
    </row>
    <row r="7" spans="1:9" x14ac:dyDescent="0.3">
      <c r="A7" s="11" t="s">
        <v>507</v>
      </c>
      <c r="B7">
        <v>393</v>
      </c>
      <c r="D7" s="2" t="s">
        <v>628</v>
      </c>
      <c r="E7" s="2" t="s">
        <v>209</v>
      </c>
      <c r="G7" s="2" t="s">
        <v>194</v>
      </c>
      <c r="H7">
        <f>SUM(C19+C20+C23+C31+C34+C51+C67+C76+C92)*0.22</f>
        <v>4059</v>
      </c>
    </row>
    <row r="8" spans="1:9" x14ac:dyDescent="0.3">
      <c r="A8" s="11" t="s">
        <v>508</v>
      </c>
      <c r="B8">
        <v>175</v>
      </c>
      <c r="D8" s="2" t="s">
        <v>627</v>
      </c>
      <c r="E8" s="2" t="s">
        <v>417</v>
      </c>
    </row>
    <row r="9" spans="1:9" x14ac:dyDescent="0.3">
      <c r="A9" s="11" t="s">
        <v>509</v>
      </c>
      <c r="B9">
        <v>200</v>
      </c>
      <c r="D9" s="2" t="s">
        <v>626</v>
      </c>
      <c r="E9" s="2" t="s">
        <v>417</v>
      </c>
    </row>
    <row r="10" spans="1:9" x14ac:dyDescent="0.3">
      <c r="A10" s="11" t="s">
        <v>510</v>
      </c>
      <c r="C10">
        <v>759</v>
      </c>
      <c r="D10" s="2" t="s">
        <v>629</v>
      </c>
      <c r="E10" s="2" t="s">
        <v>417</v>
      </c>
    </row>
    <row r="11" spans="1:9" x14ac:dyDescent="0.3">
      <c r="A11" s="11" t="s">
        <v>511</v>
      </c>
      <c r="C11">
        <v>495</v>
      </c>
      <c r="D11" s="2" t="s">
        <v>629</v>
      </c>
      <c r="E11" s="2" t="s">
        <v>417</v>
      </c>
    </row>
    <row r="12" spans="1:9" x14ac:dyDescent="0.3">
      <c r="A12" s="11" t="s">
        <v>512</v>
      </c>
      <c r="C12">
        <v>292</v>
      </c>
      <c r="D12" s="2" t="s">
        <v>629</v>
      </c>
      <c r="E12" s="2" t="s">
        <v>417</v>
      </c>
    </row>
    <row r="13" spans="1:9" x14ac:dyDescent="0.3">
      <c r="A13" s="11" t="s">
        <v>513</v>
      </c>
      <c r="C13">
        <v>188</v>
      </c>
      <c r="D13" s="2" t="s">
        <v>629</v>
      </c>
      <c r="E13" s="2" t="s">
        <v>417</v>
      </c>
    </row>
    <row r="14" spans="1:9" x14ac:dyDescent="0.3">
      <c r="A14" s="11" t="s">
        <v>526</v>
      </c>
      <c r="C14">
        <v>446</v>
      </c>
      <c r="D14" s="2" t="s">
        <v>126</v>
      </c>
      <c r="E14" s="2" t="s">
        <v>417</v>
      </c>
    </row>
    <row r="15" spans="1:9" x14ac:dyDescent="0.3">
      <c r="A15" s="11"/>
    </row>
    <row r="16" spans="1:9" x14ac:dyDescent="0.3">
      <c r="A16" s="3" t="s">
        <v>384</v>
      </c>
      <c r="B16" s="3"/>
      <c r="C16" s="3"/>
      <c r="D16" s="3"/>
      <c r="E16" s="3"/>
    </row>
    <row r="17" spans="1:5" x14ac:dyDescent="0.3">
      <c r="A17" s="11" t="s">
        <v>514</v>
      </c>
      <c r="C17">
        <v>279</v>
      </c>
      <c r="E17" s="2" t="s">
        <v>417</v>
      </c>
    </row>
    <row r="18" spans="1:5" x14ac:dyDescent="0.3">
      <c r="A18" s="11" t="s">
        <v>543</v>
      </c>
      <c r="C18">
        <v>240</v>
      </c>
      <c r="D18" s="2" t="s">
        <v>403</v>
      </c>
      <c r="E18" s="2" t="s">
        <v>209</v>
      </c>
    </row>
    <row r="19" spans="1:5" x14ac:dyDescent="0.3">
      <c r="A19" s="11" t="s">
        <v>515</v>
      </c>
      <c r="C19">
        <v>700</v>
      </c>
      <c r="E19" s="2" t="s">
        <v>194</v>
      </c>
    </row>
    <row r="20" spans="1:5" x14ac:dyDescent="0.3">
      <c r="A20" s="11" t="s">
        <v>516</v>
      </c>
      <c r="C20">
        <v>300</v>
      </c>
      <c r="E20" s="2" t="s">
        <v>194</v>
      </c>
    </row>
    <row r="21" spans="1:5" x14ac:dyDescent="0.3">
      <c r="A21" s="11" t="s">
        <v>517</v>
      </c>
      <c r="C21">
        <v>800</v>
      </c>
      <c r="D21" s="2" t="s">
        <v>623</v>
      </c>
      <c r="E21" s="2" t="s">
        <v>417</v>
      </c>
    </row>
    <row r="22" spans="1:5" x14ac:dyDescent="0.3">
      <c r="A22" s="11" t="s">
        <v>518</v>
      </c>
      <c r="C22">
        <v>4235</v>
      </c>
      <c r="D22" s="2" t="s">
        <v>624</v>
      </c>
      <c r="E22" s="2" t="s">
        <v>417</v>
      </c>
    </row>
    <row r="23" spans="1:5" x14ac:dyDescent="0.3">
      <c r="A23" s="11" t="s">
        <v>519</v>
      </c>
      <c r="C23">
        <v>600</v>
      </c>
      <c r="E23" s="2" t="s">
        <v>194</v>
      </c>
    </row>
    <row r="24" spans="1:5" x14ac:dyDescent="0.3">
      <c r="A24" s="11" t="s">
        <v>520</v>
      </c>
      <c r="C24">
        <v>500</v>
      </c>
      <c r="E24" s="2" t="s">
        <v>191</v>
      </c>
    </row>
    <row r="25" spans="1:5" x14ac:dyDescent="0.3">
      <c r="A25" s="11" t="s">
        <v>527</v>
      </c>
      <c r="C25">
        <v>280</v>
      </c>
      <c r="D25" s="2" t="s">
        <v>403</v>
      </c>
      <c r="E25" s="2" t="s">
        <v>209</v>
      </c>
    </row>
    <row r="26" spans="1:5" x14ac:dyDescent="0.3">
      <c r="A26" s="11" t="s">
        <v>521</v>
      </c>
      <c r="C26">
        <v>3580</v>
      </c>
      <c r="D26" s="2" t="s">
        <v>625</v>
      </c>
      <c r="E26" s="2" t="s">
        <v>417</v>
      </c>
    </row>
    <row r="27" spans="1:5" x14ac:dyDescent="0.3">
      <c r="A27" s="11" t="s">
        <v>523</v>
      </c>
      <c r="C27">
        <v>3520</v>
      </c>
      <c r="D27" s="2" t="s">
        <v>522</v>
      </c>
      <c r="E27" s="2" t="s">
        <v>417</v>
      </c>
    </row>
    <row r="28" spans="1:5" x14ac:dyDescent="0.3">
      <c r="A28" s="11" t="s">
        <v>542</v>
      </c>
      <c r="C28">
        <v>220</v>
      </c>
      <c r="D28" s="2" t="s">
        <v>403</v>
      </c>
      <c r="E28" s="2" t="s">
        <v>209</v>
      </c>
    </row>
    <row r="30" spans="1:5" x14ac:dyDescent="0.3">
      <c r="A30" s="3" t="s">
        <v>385</v>
      </c>
      <c r="B30" s="3"/>
      <c r="C30" s="3"/>
      <c r="D30" s="3"/>
      <c r="E30" s="3"/>
    </row>
    <row r="31" spans="1:5" x14ac:dyDescent="0.3">
      <c r="A31" s="11" t="s">
        <v>599</v>
      </c>
      <c r="C31" s="7">
        <v>3300</v>
      </c>
      <c r="D31" s="2" t="s">
        <v>532</v>
      </c>
      <c r="E31" s="2" t="s">
        <v>194</v>
      </c>
    </row>
    <row r="32" spans="1:5" x14ac:dyDescent="0.3">
      <c r="A32" s="11" t="s">
        <v>524</v>
      </c>
      <c r="C32" s="7">
        <v>386</v>
      </c>
      <c r="E32" s="2" t="s">
        <v>417</v>
      </c>
    </row>
    <row r="33" spans="1:5" x14ac:dyDescent="0.3">
      <c r="A33" s="11" t="s">
        <v>528</v>
      </c>
      <c r="C33" s="7">
        <v>230</v>
      </c>
      <c r="D33" s="2" t="s">
        <v>525</v>
      </c>
      <c r="E33" s="2" t="s">
        <v>209</v>
      </c>
    </row>
    <row r="34" spans="1:5" x14ac:dyDescent="0.3">
      <c r="A34" s="11" t="s">
        <v>529</v>
      </c>
      <c r="C34" s="7">
        <v>500</v>
      </c>
      <c r="E34" s="2" t="s">
        <v>194</v>
      </c>
    </row>
    <row r="35" spans="1:5" x14ac:dyDescent="0.3">
      <c r="A35" s="11" t="s">
        <v>530</v>
      </c>
      <c r="C35" s="7">
        <v>230</v>
      </c>
      <c r="D35" s="2" t="s">
        <v>525</v>
      </c>
      <c r="E35" s="2" t="s">
        <v>209</v>
      </c>
    </row>
    <row r="36" spans="1:5" x14ac:dyDescent="0.3">
      <c r="A36" s="11" t="s">
        <v>531</v>
      </c>
      <c r="C36" s="7">
        <v>360</v>
      </c>
      <c r="D36" s="2" t="s">
        <v>403</v>
      </c>
      <c r="E36" s="2" t="s">
        <v>209</v>
      </c>
    </row>
    <row r="37" spans="1:5" x14ac:dyDescent="0.3">
      <c r="A37" s="11" t="s">
        <v>533</v>
      </c>
      <c r="C37" s="7">
        <v>2000</v>
      </c>
      <c r="D37" s="2" t="s">
        <v>532</v>
      </c>
      <c r="E37" s="2" t="s">
        <v>191</v>
      </c>
    </row>
    <row r="38" spans="1:5" x14ac:dyDescent="0.3">
      <c r="A38" s="11" t="s">
        <v>534</v>
      </c>
      <c r="C38" s="7">
        <v>880</v>
      </c>
      <c r="D38" s="2" t="s">
        <v>532</v>
      </c>
      <c r="E38" s="2" t="s">
        <v>191</v>
      </c>
    </row>
    <row r="39" spans="1:5" x14ac:dyDescent="0.3">
      <c r="A39" s="11" t="s">
        <v>541</v>
      </c>
      <c r="C39" s="7">
        <v>1320</v>
      </c>
      <c r="D39" s="2" t="s">
        <v>532</v>
      </c>
      <c r="E39" s="2" t="s">
        <v>191</v>
      </c>
    </row>
    <row r="40" spans="1:5" x14ac:dyDescent="0.3">
      <c r="A40" s="11" t="s">
        <v>535</v>
      </c>
      <c r="C40" s="7">
        <v>1900</v>
      </c>
      <c r="D40" s="2" t="s">
        <v>532</v>
      </c>
      <c r="E40" s="2" t="s">
        <v>417</v>
      </c>
    </row>
    <row r="41" spans="1:5" x14ac:dyDescent="0.3">
      <c r="A41" s="11" t="s">
        <v>536</v>
      </c>
      <c r="C41" s="7">
        <v>360</v>
      </c>
      <c r="D41" s="2" t="s">
        <v>403</v>
      </c>
      <c r="E41" s="2" t="s">
        <v>209</v>
      </c>
    </row>
    <row r="42" spans="1:5" x14ac:dyDescent="0.3">
      <c r="A42" s="11" t="s">
        <v>537</v>
      </c>
      <c r="C42" s="7">
        <v>170</v>
      </c>
      <c r="D42" s="2" t="s">
        <v>403</v>
      </c>
      <c r="E42" s="2" t="s">
        <v>209</v>
      </c>
    </row>
    <row r="43" spans="1:5" x14ac:dyDescent="0.3">
      <c r="A43" s="11" t="s">
        <v>538</v>
      </c>
      <c r="C43" s="7">
        <v>1500</v>
      </c>
      <c r="D43" s="2" t="s">
        <v>622</v>
      </c>
      <c r="E43" s="2" t="s">
        <v>417</v>
      </c>
    </row>
    <row r="44" spans="1:5" x14ac:dyDescent="0.3">
      <c r="A44" s="11" t="s">
        <v>539</v>
      </c>
      <c r="C44" s="7">
        <v>12922</v>
      </c>
      <c r="D44" s="2" t="s">
        <v>614</v>
      </c>
      <c r="E44" s="2" t="s">
        <v>191</v>
      </c>
    </row>
    <row r="45" spans="1:5" x14ac:dyDescent="0.3">
      <c r="A45" s="11" t="s">
        <v>540</v>
      </c>
      <c r="C45" s="7">
        <v>230</v>
      </c>
      <c r="D45" s="2" t="s">
        <v>525</v>
      </c>
      <c r="E45" s="2" t="s">
        <v>209</v>
      </c>
    </row>
    <row r="46" spans="1:5" x14ac:dyDescent="0.3">
      <c r="A46" s="11"/>
    </row>
    <row r="47" spans="1:5" x14ac:dyDescent="0.3">
      <c r="A47" s="3" t="s">
        <v>386</v>
      </c>
      <c r="B47" s="3"/>
      <c r="C47" s="3"/>
      <c r="D47" s="3"/>
      <c r="E47" s="3"/>
    </row>
    <row r="48" spans="1:5" x14ac:dyDescent="0.3">
      <c r="A48" s="11" t="s">
        <v>544</v>
      </c>
      <c r="C48" s="7">
        <v>150</v>
      </c>
      <c r="D48" s="2" t="s">
        <v>403</v>
      </c>
      <c r="E48" s="2" t="s">
        <v>209</v>
      </c>
    </row>
    <row r="49" spans="1:5" x14ac:dyDescent="0.3">
      <c r="A49" s="11" t="s">
        <v>545</v>
      </c>
      <c r="C49" s="7">
        <v>170</v>
      </c>
      <c r="D49" s="2" t="s">
        <v>403</v>
      </c>
      <c r="E49" s="2" t="s">
        <v>209</v>
      </c>
    </row>
    <row r="50" spans="1:5" x14ac:dyDescent="0.3">
      <c r="A50" s="11" t="s">
        <v>546</v>
      </c>
      <c r="C50" s="7">
        <v>590</v>
      </c>
      <c r="D50" s="2" t="s">
        <v>406</v>
      </c>
      <c r="E50" s="2" t="s">
        <v>417</v>
      </c>
    </row>
    <row r="51" spans="1:5" x14ac:dyDescent="0.3">
      <c r="A51" s="11" t="s">
        <v>547</v>
      </c>
      <c r="C51" s="7">
        <v>2000</v>
      </c>
      <c r="E51" s="2" t="s">
        <v>194</v>
      </c>
    </row>
    <row r="52" spans="1:5" x14ac:dyDescent="0.3">
      <c r="A52" s="11" t="s">
        <v>548</v>
      </c>
      <c r="C52" s="7">
        <v>230</v>
      </c>
      <c r="D52" s="2" t="s">
        <v>525</v>
      </c>
      <c r="E52" s="2" t="s">
        <v>209</v>
      </c>
    </row>
    <row r="53" spans="1:5" x14ac:dyDescent="0.3">
      <c r="A53" s="11" t="s">
        <v>549</v>
      </c>
      <c r="C53" s="7">
        <v>2090</v>
      </c>
      <c r="D53" s="2" t="s">
        <v>621</v>
      </c>
      <c r="E53" s="2" t="s">
        <v>417</v>
      </c>
    </row>
    <row r="54" spans="1:5" x14ac:dyDescent="0.3">
      <c r="A54" s="11" t="s">
        <v>550</v>
      </c>
      <c r="C54" s="7">
        <v>230</v>
      </c>
      <c r="D54" s="2" t="s">
        <v>525</v>
      </c>
      <c r="E54" s="2" t="s">
        <v>209</v>
      </c>
    </row>
    <row r="55" spans="1:5" x14ac:dyDescent="0.3">
      <c r="A55" s="11" t="s">
        <v>551</v>
      </c>
      <c r="C55" s="7">
        <v>430</v>
      </c>
      <c r="D55" s="2" t="s">
        <v>403</v>
      </c>
      <c r="E55" s="2" t="s">
        <v>209</v>
      </c>
    </row>
    <row r="56" spans="1:5" x14ac:dyDescent="0.3">
      <c r="A56" s="11" t="s">
        <v>552</v>
      </c>
      <c r="C56" s="7">
        <v>190</v>
      </c>
      <c r="D56" s="2" t="s">
        <v>403</v>
      </c>
      <c r="E56" s="2" t="s">
        <v>209</v>
      </c>
    </row>
    <row r="57" spans="1:5" x14ac:dyDescent="0.3">
      <c r="A57" s="11" t="s">
        <v>553</v>
      </c>
      <c r="C57" s="7">
        <v>5971</v>
      </c>
      <c r="D57" s="2" t="s">
        <v>620</v>
      </c>
      <c r="E57" s="2" t="s">
        <v>191</v>
      </c>
    </row>
    <row r="58" spans="1:5" x14ac:dyDescent="0.3">
      <c r="A58" s="11" t="s">
        <v>554</v>
      </c>
      <c r="C58" s="7">
        <v>6908</v>
      </c>
      <c r="D58" s="2" t="s">
        <v>619</v>
      </c>
      <c r="E58" s="2" t="s">
        <v>417</v>
      </c>
    </row>
    <row r="59" spans="1:5" x14ac:dyDescent="0.3">
      <c r="A59" s="11" t="s">
        <v>555</v>
      </c>
      <c r="C59" s="7">
        <v>6581</v>
      </c>
      <c r="D59" s="2" t="s">
        <v>618</v>
      </c>
      <c r="E59" s="2" t="s">
        <v>191</v>
      </c>
    </row>
    <row r="60" spans="1:5" x14ac:dyDescent="0.3">
      <c r="A60" s="11"/>
    </row>
    <row r="61" spans="1:5" x14ac:dyDescent="0.3">
      <c r="A61" s="3" t="s">
        <v>387</v>
      </c>
      <c r="B61" s="3"/>
      <c r="C61" s="3"/>
      <c r="D61" s="3"/>
      <c r="E61" s="3"/>
    </row>
    <row r="62" spans="1:5" x14ac:dyDescent="0.3">
      <c r="A62" s="11" t="s">
        <v>556</v>
      </c>
      <c r="C62" s="7">
        <v>190</v>
      </c>
      <c r="D62" s="2" t="s">
        <v>403</v>
      </c>
      <c r="E62" s="2" t="s">
        <v>209</v>
      </c>
    </row>
    <row r="63" spans="1:5" x14ac:dyDescent="0.3">
      <c r="A63" s="11" t="s">
        <v>557</v>
      </c>
      <c r="C63" s="7">
        <v>1080</v>
      </c>
      <c r="D63" s="2" t="s">
        <v>616</v>
      </c>
      <c r="E63" s="2" t="s">
        <v>191</v>
      </c>
    </row>
    <row r="64" spans="1:5" x14ac:dyDescent="0.3">
      <c r="A64" s="11" t="s">
        <v>558</v>
      </c>
      <c r="C64" s="7">
        <v>190</v>
      </c>
      <c r="D64" s="2" t="s">
        <v>403</v>
      </c>
      <c r="E64" s="2" t="s">
        <v>209</v>
      </c>
    </row>
    <row r="65" spans="1:5" x14ac:dyDescent="0.3">
      <c r="A65" s="11" t="s">
        <v>559</v>
      </c>
      <c r="C65" s="7">
        <v>1780</v>
      </c>
      <c r="D65" s="2" t="s">
        <v>617</v>
      </c>
      <c r="E65" s="2" t="s">
        <v>417</v>
      </c>
    </row>
    <row r="66" spans="1:5" x14ac:dyDescent="0.3">
      <c r="A66" s="11" t="s">
        <v>560</v>
      </c>
      <c r="C66" s="7">
        <v>1700</v>
      </c>
      <c r="D66" s="2" t="s">
        <v>403</v>
      </c>
      <c r="E66" s="2" t="s">
        <v>209</v>
      </c>
    </row>
    <row r="67" spans="1:5" x14ac:dyDescent="0.3">
      <c r="A67" s="11" t="s">
        <v>561</v>
      </c>
      <c r="C67" s="7">
        <v>1050</v>
      </c>
      <c r="E67" s="2" t="s">
        <v>194</v>
      </c>
    </row>
    <row r="68" spans="1:5" x14ac:dyDescent="0.3">
      <c r="A68" s="11" t="s">
        <v>562</v>
      </c>
      <c r="C68" s="7">
        <v>8334</v>
      </c>
      <c r="D68" s="2" t="s">
        <v>614</v>
      </c>
      <c r="E68" s="2" t="s">
        <v>191</v>
      </c>
    </row>
    <row r="69" spans="1:5" x14ac:dyDescent="0.3">
      <c r="A69" s="11" t="s">
        <v>563</v>
      </c>
      <c r="C69" s="7">
        <v>500</v>
      </c>
      <c r="D69" s="2" t="s">
        <v>615</v>
      </c>
      <c r="E69" s="2" t="s">
        <v>417</v>
      </c>
    </row>
    <row r="70" spans="1:5" x14ac:dyDescent="0.3">
      <c r="A70" s="11" t="s">
        <v>564</v>
      </c>
      <c r="C70" s="7">
        <v>1598</v>
      </c>
      <c r="D70" s="2" t="s">
        <v>613</v>
      </c>
      <c r="E70" s="2" t="s">
        <v>417</v>
      </c>
    </row>
    <row r="71" spans="1:5" x14ac:dyDescent="0.3">
      <c r="A71" s="11" t="s">
        <v>565</v>
      </c>
      <c r="C71" s="7">
        <v>1700</v>
      </c>
      <c r="D71" s="2" t="s">
        <v>403</v>
      </c>
      <c r="E71" s="2" t="s">
        <v>209</v>
      </c>
    </row>
    <row r="72" spans="1:5" x14ac:dyDescent="0.3">
      <c r="A72" s="11" t="s">
        <v>640</v>
      </c>
      <c r="C72" s="7">
        <v>106</v>
      </c>
      <c r="D72" s="2" t="s">
        <v>641</v>
      </c>
      <c r="E72" s="2" t="s">
        <v>417</v>
      </c>
    </row>
    <row r="73" spans="1:5" x14ac:dyDescent="0.3">
      <c r="A73" s="11" t="s">
        <v>566</v>
      </c>
      <c r="C73" s="7">
        <v>1118</v>
      </c>
      <c r="D73" s="2" t="s">
        <v>612</v>
      </c>
      <c r="E73" s="2" t="s">
        <v>417</v>
      </c>
    </row>
    <row r="75" spans="1:5" x14ac:dyDescent="0.3">
      <c r="A75" s="3" t="s">
        <v>388</v>
      </c>
      <c r="B75" s="3"/>
      <c r="C75" s="3"/>
      <c r="D75" s="3"/>
      <c r="E75" s="3"/>
    </row>
    <row r="76" spans="1:5" x14ac:dyDescent="0.3">
      <c r="A76" s="11" t="s">
        <v>371</v>
      </c>
      <c r="C76" s="7">
        <v>5000</v>
      </c>
      <c r="D76" s="2" t="s">
        <v>609</v>
      </c>
      <c r="E76" s="2" t="s">
        <v>194</v>
      </c>
    </row>
    <row r="77" spans="1:5" x14ac:dyDescent="0.3">
      <c r="A77" s="11" t="s">
        <v>567</v>
      </c>
      <c r="C77" s="7">
        <v>430</v>
      </c>
      <c r="D77" s="2" t="s">
        <v>403</v>
      </c>
      <c r="E77" s="2" t="s">
        <v>209</v>
      </c>
    </row>
    <row r="78" spans="1:5" x14ac:dyDescent="0.3">
      <c r="A78" s="11" t="s">
        <v>568</v>
      </c>
      <c r="C78" s="7">
        <v>270</v>
      </c>
      <c r="D78" s="2" t="s">
        <v>610</v>
      </c>
      <c r="E78" s="2" t="s">
        <v>417</v>
      </c>
    </row>
    <row r="79" spans="1:5" x14ac:dyDescent="0.3">
      <c r="A79" s="11" t="s">
        <v>569</v>
      </c>
      <c r="C79" s="7">
        <v>330</v>
      </c>
      <c r="D79" s="2" t="s">
        <v>610</v>
      </c>
      <c r="E79" s="2" t="s">
        <v>417</v>
      </c>
    </row>
    <row r="80" spans="1:5" x14ac:dyDescent="0.3">
      <c r="A80" s="11" t="s">
        <v>570</v>
      </c>
      <c r="C80" s="7">
        <v>590</v>
      </c>
      <c r="D80" s="2" t="s">
        <v>610</v>
      </c>
      <c r="E80" s="2" t="s">
        <v>417</v>
      </c>
    </row>
    <row r="81" spans="1:5" x14ac:dyDescent="0.3">
      <c r="A81" s="11" t="s">
        <v>571</v>
      </c>
      <c r="C81" s="7">
        <v>680</v>
      </c>
      <c r="D81" s="2" t="s">
        <v>610</v>
      </c>
      <c r="E81" s="2" t="s">
        <v>417</v>
      </c>
    </row>
    <row r="82" spans="1:5" x14ac:dyDescent="0.3">
      <c r="A82" s="11" t="s">
        <v>572</v>
      </c>
      <c r="C82" s="7">
        <v>270</v>
      </c>
      <c r="D82" s="2" t="s">
        <v>610</v>
      </c>
      <c r="E82" s="2" t="s">
        <v>417</v>
      </c>
    </row>
    <row r="83" spans="1:5" x14ac:dyDescent="0.3">
      <c r="A83" s="11" t="s">
        <v>573</v>
      </c>
      <c r="C83" s="7">
        <v>590</v>
      </c>
      <c r="D83" s="2" t="s">
        <v>610</v>
      </c>
      <c r="E83" s="2" t="s">
        <v>417</v>
      </c>
    </row>
    <row r="84" spans="1:5" x14ac:dyDescent="0.3">
      <c r="A84" s="11" t="s">
        <v>574</v>
      </c>
      <c r="C84" s="7">
        <v>590</v>
      </c>
      <c r="D84" s="2" t="s">
        <v>610</v>
      </c>
      <c r="E84" s="2" t="s">
        <v>417</v>
      </c>
    </row>
    <row r="85" spans="1:5" x14ac:dyDescent="0.3">
      <c r="A85" s="11" t="s">
        <v>571</v>
      </c>
      <c r="C85" s="7">
        <v>680</v>
      </c>
      <c r="D85" s="2" t="s">
        <v>610</v>
      </c>
      <c r="E85" s="2" t="s">
        <v>417</v>
      </c>
    </row>
    <row r="86" spans="1:5" x14ac:dyDescent="0.3">
      <c r="A86" s="11" t="s">
        <v>575</v>
      </c>
      <c r="C86" s="7">
        <v>190</v>
      </c>
      <c r="E86" s="2" t="s">
        <v>417</v>
      </c>
    </row>
    <row r="87" spans="1:5" x14ac:dyDescent="0.3">
      <c r="A87" s="11" t="s">
        <v>576</v>
      </c>
      <c r="C87" s="7">
        <v>430</v>
      </c>
      <c r="D87" s="2" t="s">
        <v>403</v>
      </c>
      <c r="E87" s="2" t="s">
        <v>209</v>
      </c>
    </row>
    <row r="88" spans="1:5" x14ac:dyDescent="0.3">
      <c r="A88" s="11" t="s">
        <v>577</v>
      </c>
      <c r="C88" s="7">
        <v>2620</v>
      </c>
      <c r="D88" s="2" t="s">
        <v>611</v>
      </c>
      <c r="E88" s="2" t="s">
        <v>417</v>
      </c>
    </row>
    <row r="89" spans="1:5" x14ac:dyDescent="0.3">
      <c r="A89" s="11" t="s">
        <v>579</v>
      </c>
      <c r="C89" s="7">
        <v>1023</v>
      </c>
      <c r="D89" s="2" t="s">
        <v>612</v>
      </c>
      <c r="E89" s="2" t="s">
        <v>417</v>
      </c>
    </row>
    <row r="91" spans="1:5" x14ac:dyDescent="0.3">
      <c r="A91" s="3" t="s">
        <v>389</v>
      </c>
      <c r="B91" s="3"/>
      <c r="C91" s="3"/>
      <c r="D91" s="3"/>
      <c r="E91" s="3"/>
    </row>
    <row r="92" spans="1:5" x14ac:dyDescent="0.3">
      <c r="A92" s="11" t="s">
        <v>371</v>
      </c>
      <c r="C92" s="7">
        <v>5000</v>
      </c>
      <c r="D92" s="2" t="s">
        <v>609</v>
      </c>
      <c r="E92" s="2" t="s">
        <v>194</v>
      </c>
    </row>
    <row r="93" spans="1:5" x14ac:dyDescent="0.3">
      <c r="A93" s="11" t="s">
        <v>567</v>
      </c>
      <c r="C93" s="7">
        <v>430</v>
      </c>
      <c r="D93" s="2" t="s">
        <v>403</v>
      </c>
      <c r="E93" s="2" t="s">
        <v>209</v>
      </c>
    </row>
    <row r="94" spans="1:5" x14ac:dyDescent="0.3">
      <c r="A94" s="11" t="s">
        <v>576</v>
      </c>
      <c r="C94" s="7">
        <v>430</v>
      </c>
      <c r="D94" s="2" t="s">
        <v>403</v>
      </c>
      <c r="E94" s="2" t="s">
        <v>209</v>
      </c>
    </row>
    <row r="95" spans="1:5" x14ac:dyDescent="0.3">
      <c r="A95" s="11" t="s">
        <v>578</v>
      </c>
      <c r="C95" s="7">
        <v>3900</v>
      </c>
      <c r="D95" s="2" t="s">
        <v>171</v>
      </c>
      <c r="E95" s="2" t="s">
        <v>417</v>
      </c>
    </row>
    <row r="97" spans="1:5" x14ac:dyDescent="0.3">
      <c r="A97" s="3" t="s">
        <v>390</v>
      </c>
      <c r="B97" s="3"/>
      <c r="C97" s="3"/>
      <c r="D97" s="3"/>
      <c r="E97" s="3"/>
    </row>
    <row r="98" spans="1:5" x14ac:dyDescent="0.3">
      <c r="A98" s="11" t="s">
        <v>580</v>
      </c>
      <c r="C98" s="7">
        <v>700</v>
      </c>
      <c r="D98" s="2" t="s">
        <v>607</v>
      </c>
      <c r="E98" s="2" t="s">
        <v>417</v>
      </c>
    </row>
    <row r="99" spans="1:5" x14ac:dyDescent="0.3">
      <c r="A99" s="11" t="s">
        <v>581</v>
      </c>
      <c r="C99" s="7">
        <v>240</v>
      </c>
      <c r="D99" s="2" t="s">
        <v>403</v>
      </c>
      <c r="E99" s="2" t="s">
        <v>209</v>
      </c>
    </row>
    <row r="100" spans="1:5" x14ac:dyDescent="0.3">
      <c r="A100" s="11" t="s">
        <v>582</v>
      </c>
      <c r="C100" s="7">
        <v>6195</v>
      </c>
      <c r="D100" s="2" t="s">
        <v>608</v>
      </c>
      <c r="E100" s="2" t="s">
        <v>417</v>
      </c>
    </row>
    <row r="101" spans="1:5" x14ac:dyDescent="0.3">
      <c r="A101" s="11" t="s">
        <v>583</v>
      </c>
      <c r="C101" s="7">
        <v>240</v>
      </c>
      <c r="D101" s="2" t="s">
        <v>403</v>
      </c>
      <c r="E101" s="2" t="s">
        <v>209</v>
      </c>
    </row>
    <row r="102" spans="1:5" x14ac:dyDescent="0.3">
      <c r="A102" s="11" t="s">
        <v>584</v>
      </c>
      <c r="C102" s="7">
        <v>770</v>
      </c>
      <c r="D102" s="2" t="s">
        <v>605</v>
      </c>
      <c r="E102" s="2" t="s">
        <v>191</v>
      </c>
    </row>
    <row r="103" spans="1:5" x14ac:dyDescent="0.3">
      <c r="A103" s="11" t="s">
        <v>585</v>
      </c>
      <c r="C103" s="7">
        <v>8510</v>
      </c>
      <c r="D103" s="2" t="s">
        <v>606</v>
      </c>
      <c r="E103" s="2" t="s">
        <v>191</v>
      </c>
    </row>
    <row r="104" spans="1:5" x14ac:dyDescent="0.3">
      <c r="A104" s="11" t="s">
        <v>586</v>
      </c>
      <c r="C104" s="7">
        <v>693</v>
      </c>
      <c r="D104" s="2" t="s">
        <v>603</v>
      </c>
      <c r="E104" s="2" t="s">
        <v>417</v>
      </c>
    </row>
    <row r="105" spans="1:5" x14ac:dyDescent="0.3">
      <c r="A105" s="11" t="s">
        <v>587</v>
      </c>
      <c r="C105" s="7">
        <v>2420</v>
      </c>
      <c r="D105" s="2" t="s">
        <v>604</v>
      </c>
      <c r="E105" s="2" t="s">
        <v>191</v>
      </c>
    </row>
    <row r="106" spans="1:5" x14ac:dyDescent="0.3">
      <c r="A106" s="11" t="s">
        <v>588</v>
      </c>
      <c r="C106" s="7">
        <v>1300</v>
      </c>
      <c r="D106" s="2" t="s">
        <v>460</v>
      </c>
      <c r="E106" s="2" t="s">
        <v>209</v>
      </c>
    </row>
    <row r="107" spans="1:5" x14ac:dyDescent="0.3">
      <c r="A107" s="11" t="s">
        <v>589</v>
      </c>
      <c r="C107" s="7">
        <v>16200</v>
      </c>
      <c r="D107" s="2" t="s">
        <v>602</v>
      </c>
      <c r="E107" s="2" t="s">
        <v>191</v>
      </c>
    </row>
    <row r="108" spans="1:5" x14ac:dyDescent="0.3">
      <c r="A108" s="11" t="s">
        <v>590</v>
      </c>
      <c r="C108" s="7">
        <v>1500</v>
      </c>
      <c r="D108" s="2" t="s">
        <v>602</v>
      </c>
      <c r="E108" s="2" t="s">
        <v>417</v>
      </c>
    </row>
    <row r="109" spans="1:5" x14ac:dyDescent="0.3">
      <c r="A109" s="11" t="s">
        <v>591</v>
      </c>
      <c r="C109" s="7">
        <v>3000</v>
      </c>
      <c r="D109" s="2" t="s">
        <v>602</v>
      </c>
      <c r="E109" s="2" t="s">
        <v>191</v>
      </c>
    </row>
    <row r="111" spans="1:5" x14ac:dyDescent="0.3">
      <c r="A111" s="3" t="s">
        <v>592</v>
      </c>
      <c r="B111" s="3"/>
      <c r="C111" s="3"/>
      <c r="D111" s="3"/>
      <c r="E111" s="3"/>
    </row>
    <row r="112" spans="1:5" x14ac:dyDescent="0.3">
      <c r="A112" s="11" t="s">
        <v>593</v>
      </c>
      <c r="C112" s="7">
        <v>21690</v>
      </c>
      <c r="D112" s="2" t="s">
        <v>601</v>
      </c>
      <c r="E112" s="2" t="s">
        <v>191</v>
      </c>
    </row>
    <row r="113" spans="1:5" x14ac:dyDescent="0.3">
      <c r="A113" s="11" t="s">
        <v>594</v>
      </c>
      <c r="C113" s="7">
        <v>4400</v>
      </c>
      <c r="D113" s="2" t="s">
        <v>600</v>
      </c>
      <c r="E113" s="2" t="s">
        <v>191</v>
      </c>
    </row>
    <row r="114" spans="1:5" x14ac:dyDescent="0.3">
      <c r="A114" s="11" t="s">
        <v>595</v>
      </c>
      <c r="C114" s="7">
        <v>2530</v>
      </c>
      <c r="D114" s="2" t="s">
        <v>600</v>
      </c>
      <c r="E114" s="2" t="s">
        <v>191</v>
      </c>
    </row>
    <row r="115" spans="1:5" x14ac:dyDescent="0.3">
      <c r="A115" s="11" t="s">
        <v>596</v>
      </c>
      <c r="C115" s="7">
        <v>1931</v>
      </c>
      <c r="D115" s="2" t="s">
        <v>600</v>
      </c>
      <c r="E115" s="2" t="s">
        <v>191</v>
      </c>
    </row>
    <row r="116" spans="1:5" x14ac:dyDescent="0.3">
      <c r="A116" s="11" t="s">
        <v>597</v>
      </c>
      <c r="C116" s="7">
        <v>1980</v>
      </c>
      <c r="D116" s="2" t="s">
        <v>600</v>
      </c>
      <c r="E116" s="2" t="s">
        <v>191</v>
      </c>
    </row>
    <row r="117" spans="1:5" x14ac:dyDescent="0.3">
      <c r="A117" s="11" t="s">
        <v>598</v>
      </c>
      <c r="C117" s="7">
        <v>5940</v>
      </c>
      <c r="D117" s="2" t="s">
        <v>600</v>
      </c>
      <c r="E117" s="2" t="s">
        <v>191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78F0-17AB-4CAE-85AC-36FF7FE05F70}">
  <dimension ref="A1:I201"/>
  <sheetViews>
    <sheetView topLeftCell="A139" zoomScaleNormal="100" workbookViewId="0">
      <selection activeCell="G169" sqref="G169"/>
    </sheetView>
  </sheetViews>
  <sheetFormatPr defaultRowHeight="16.2" x14ac:dyDescent="0.3"/>
  <cols>
    <col min="1" max="1" width="77.44140625" style="2" bestFit="1" customWidth="1"/>
    <col min="2" max="3" width="18.109375" style="2" customWidth="1"/>
    <col min="4" max="4" width="51.6640625" style="2" bestFit="1" customWidth="1"/>
    <col min="9" max="9" width="11.109375" bestFit="1" customWidth="1"/>
  </cols>
  <sheetData>
    <row r="1" spans="1:9" x14ac:dyDescent="0.3">
      <c r="A1" s="2" t="s">
        <v>2</v>
      </c>
      <c r="B1" s="2" t="s">
        <v>0</v>
      </c>
      <c r="C1" s="2" t="s">
        <v>1</v>
      </c>
      <c r="D1" s="2" t="s">
        <v>71</v>
      </c>
      <c r="E1" s="2" t="s">
        <v>210</v>
      </c>
      <c r="H1" s="2" t="s">
        <v>0</v>
      </c>
      <c r="I1" s="2" t="s">
        <v>66</v>
      </c>
    </row>
    <row r="2" spans="1:9" x14ac:dyDescent="0.3">
      <c r="A2" s="11" t="s">
        <v>630</v>
      </c>
      <c r="B2" s="2">
        <v>69220</v>
      </c>
      <c r="D2" s="2" t="s">
        <v>632</v>
      </c>
      <c r="E2" s="2" t="s">
        <v>209</v>
      </c>
      <c r="G2" s="2" t="s">
        <v>67</v>
      </c>
      <c r="H2">
        <f>SUM(B201+C201)</f>
        <v>230883.21</v>
      </c>
    </row>
    <row r="3" spans="1:9" x14ac:dyDescent="0.3">
      <c r="A3" s="11" t="s">
        <v>745</v>
      </c>
      <c r="C3" s="2">
        <v>199766</v>
      </c>
      <c r="D3" s="2" t="s">
        <v>747</v>
      </c>
      <c r="E3" s="2" t="s">
        <v>215</v>
      </c>
      <c r="G3" s="2" t="s">
        <v>215</v>
      </c>
    </row>
    <row r="4" spans="1:9" x14ac:dyDescent="0.3">
      <c r="A4" s="11" t="s">
        <v>750</v>
      </c>
      <c r="C4" s="2">
        <v>27440</v>
      </c>
      <c r="D4" s="2" t="s">
        <v>749</v>
      </c>
      <c r="E4" s="2" t="s">
        <v>215</v>
      </c>
      <c r="G4" s="2" t="s">
        <v>209</v>
      </c>
    </row>
    <row r="5" spans="1:9" x14ac:dyDescent="0.3">
      <c r="A5" s="11" t="s">
        <v>746</v>
      </c>
      <c r="C5" s="2">
        <v>8500</v>
      </c>
      <c r="D5" s="2" t="s">
        <v>748</v>
      </c>
      <c r="E5" s="2" t="s">
        <v>215</v>
      </c>
      <c r="G5" s="2" t="s">
        <v>417</v>
      </c>
    </row>
    <row r="6" spans="1:9" x14ac:dyDescent="0.3">
      <c r="A6" s="11" t="s">
        <v>643</v>
      </c>
      <c r="B6" s="2">
        <v>415</v>
      </c>
      <c r="D6" s="2" t="s">
        <v>646</v>
      </c>
      <c r="G6" s="2" t="s">
        <v>191</v>
      </c>
    </row>
    <row r="7" spans="1:9" x14ac:dyDescent="0.3">
      <c r="A7" s="11" t="s">
        <v>642</v>
      </c>
      <c r="B7" s="2">
        <v>504</v>
      </c>
      <c r="D7" s="2" t="s">
        <v>647</v>
      </c>
      <c r="G7" s="2" t="s">
        <v>194</v>
      </c>
    </row>
    <row r="8" spans="1:9" x14ac:dyDescent="0.3">
      <c r="A8" s="11" t="s">
        <v>644</v>
      </c>
      <c r="B8" s="2">
        <v>2836</v>
      </c>
      <c r="D8" s="2" t="s">
        <v>645</v>
      </c>
      <c r="E8" s="2" t="s">
        <v>209</v>
      </c>
    </row>
    <row r="9" spans="1:9" x14ac:dyDescent="0.3">
      <c r="A9" s="3" t="s">
        <v>633</v>
      </c>
      <c r="B9" s="3"/>
      <c r="C9" s="3"/>
      <c r="D9" s="3"/>
      <c r="E9" s="3"/>
    </row>
    <row r="10" spans="1:9" x14ac:dyDescent="0.3">
      <c r="A10" s="11" t="s">
        <v>648</v>
      </c>
      <c r="B10" s="2">
        <v>50</v>
      </c>
      <c r="E10" s="2" t="s">
        <v>417</v>
      </c>
    </row>
    <row r="11" spans="1:9" x14ac:dyDescent="0.3">
      <c r="A11" s="11" t="s">
        <v>649</v>
      </c>
      <c r="B11" s="2">
        <v>180</v>
      </c>
      <c r="E11" s="2" t="s">
        <v>417</v>
      </c>
    </row>
    <row r="12" spans="1:9" x14ac:dyDescent="0.3">
      <c r="A12" s="11" t="s">
        <v>650</v>
      </c>
      <c r="C12" s="2">
        <v>1300</v>
      </c>
      <c r="D12" s="2" t="s">
        <v>659</v>
      </c>
      <c r="E12" s="2" t="s">
        <v>209</v>
      </c>
    </row>
    <row r="13" spans="1:9" x14ac:dyDescent="0.3">
      <c r="A13" s="11" t="s">
        <v>651</v>
      </c>
      <c r="C13" s="2">
        <v>4010</v>
      </c>
      <c r="E13" s="2" t="s">
        <v>417</v>
      </c>
    </row>
    <row r="14" spans="1:9" x14ac:dyDescent="0.3">
      <c r="A14" s="11" t="s">
        <v>652</v>
      </c>
      <c r="C14" s="2">
        <v>140</v>
      </c>
      <c r="E14" s="2" t="s">
        <v>417</v>
      </c>
    </row>
    <row r="15" spans="1:9" x14ac:dyDescent="0.3">
      <c r="A15" s="11" t="s">
        <v>653</v>
      </c>
      <c r="C15" s="2">
        <v>160</v>
      </c>
      <c r="E15" s="2" t="s">
        <v>417</v>
      </c>
    </row>
    <row r="16" spans="1:9" x14ac:dyDescent="0.3">
      <c r="A16" s="11" t="s">
        <v>654</v>
      </c>
      <c r="C16" s="2">
        <v>129</v>
      </c>
      <c r="E16" s="2" t="s">
        <v>417</v>
      </c>
    </row>
    <row r="17" spans="1:5" x14ac:dyDescent="0.3">
      <c r="A17" s="11" t="s">
        <v>655</v>
      </c>
      <c r="C17" s="2">
        <v>323</v>
      </c>
      <c r="E17" s="2" t="s">
        <v>417</v>
      </c>
    </row>
    <row r="18" spans="1:5" x14ac:dyDescent="0.3">
      <c r="A18" s="11" t="s">
        <v>656</v>
      </c>
      <c r="C18" s="2">
        <v>258</v>
      </c>
      <c r="E18" s="2" t="s">
        <v>417</v>
      </c>
    </row>
    <row r="19" spans="1:5" x14ac:dyDescent="0.3">
      <c r="A19" s="11" t="s">
        <v>657</v>
      </c>
      <c r="C19" s="2">
        <v>370</v>
      </c>
      <c r="E19" s="2" t="s">
        <v>417</v>
      </c>
    </row>
    <row r="20" spans="1:5" x14ac:dyDescent="0.3">
      <c r="A20" s="3" t="s">
        <v>634</v>
      </c>
      <c r="B20" s="3"/>
      <c r="C20" s="3"/>
      <c r="D20" s="3"/>
      <c r="E20" s="3"/>
    </row>
    <row r="21" spans="1:5" x14ac:dyDescent="0.3">
      <c r="A21" s="11" t="s">
        <v>658</v>
      </c>
      <c r="C21" s="2">
        <v>750</v>
      </c>
      <c r="D21" s="2" t="s">
        <v>692</v>
      </c>
      <c r="E21" s="2" t="s">
        <v>209</v>
      </c>
    </row>
    <row r="22" spans="1:5" x14ac:dyDescent="0.3">
      <c r="A22" s="11" t="s">
        <v>660</v>
      </c>
      <c r="C22" s="2">
        <v>18590</v>
      </c>
      <c r="D22" s="2" t="s">
        <v>661</v>
      </c>
      <c r="E22" s="2" t="s">
        <v>417</v>
      </c>
    </row>
    <row r="23" spans="1:5" x14ac:dyDescent="0.3">
      <c r="A23" s="11" t="s">
        <v>662</v>
      </c>
      <c r="C23" s="2">
        <v>1050</v>
      </c>
      <c r="D23" s="2" t="s">
        <v>691</v>
      </c>
      <c r="E23" s="2" t="s">
        <v>209</v>
      </c>
    </row>
    <row r="24" spans="1:5" x14ac:dyDescent="0.3">
      <c r="A24" s="11" t="s">
        <v>677</v>
      </c>
      <c r="C24" s="2">
        <v>1714</v>
      </c>
      <c r="E24" s="2" t="s">
        <v>417</v>
      </c>
    </row>
    <row r="25" spans="1:5" x14ac:dyDescent="0.3">
      <c r="A25" s="11" t="s">
        <v>685</v>
      </c>
      <c r="C25" s="2">
        <v>385</v>
      </c>
      <c r="E25" s="2" t="s">
        <v>417</v>
      </c>
    </row>
    <row r="26" spans="1:5" x14ac:dyDescent="0.3">
      <c r="A26" s="11" t="s">
        <v>684</v>
      </c>
      <c r="C26" s="2">
        <v>607</v>
      </c>
      <c r="E26" s="2" t="s">
        <v>417</v>
      </c>
    </row>
    <row r="27" spans="1:5" x14ac:dyDescent="0.3">
      <c r="A27" s="11" t="s">
        <v>683</v>
      </c>
      <c r="C27" s="2">
        <v>886</v>
      </c>
      <c r="E27" s="2" t="s">
        <v>417</v>
      </c>
    </row>
    <row r="28" spans="1:5" x14ac:dyDescent="0.3">
      <c r="A28" s="11" t="s">
        <v>682</v>
      </c>
      <c r="C28" s="2">
        <v>396</v>
      </c>
      <c r="E28" s="2" t="s">
        <v>417</v>
      </c>
    </row>
    <row r="29" spans="1:5" x14ac:dyDescent="0.3">
      <c r="A29" s="11" t="s">
        <v>681</v>
      </c>
      <c r="C29" s="2">
        <v>981</v>
      </c>
      <c r="E29" s="2" t="s">
        <v>417</v>
      </c>
    </row>
    <row r="30" spans="1:5" x14ac:dyDescent="0.3">
      <c r="A30" s="11" t="s">
        <v>680</v>
      </c>
      <c r="C30" s="2">
        <v>501</v>
      </c>
      <c r="E30" s="2" t="s">
        <v>417</v>
      </c>
    </row>
    <row r="31" spans="1:5" x14ac:dyDescent="0.3">
      <c r="A31" s="11" t="s">
        <v>679</v>
      </c>
      <c r="C31" s="2">
        <v>245</v>
      </c>
      <c r="E31" s="2" t="s">
        <v>417</v>
      </c>
    </row>
    <row r="32" spans="1:5" x14ac:dyDescent="0.3">
      <c r="A32" s="11" t="s">
        <v>678</v>
      </c>
      <c r="C32" s="2">
        <v>420</v>
      </c>
      <c r="E32" s="2" t="s">
        <v>417</v>
      </c>
    </row>
    <row r="33" spans="1:5" x14ac:dyDescent="0.3">
      <c r="A33" s="11" t="s">
        <v>653</v>
      </c>
      <c r="C33" s="2">
        <v>161</v>
      </c>
      <c r="E33" s="2" t="s">
        <v>417</v>
      </c>
    </row>
    <row r="34" spans="1:5" x14ac:dyDescent="0.3">
      <c r="A34" s="11" t="s">
        <v>663</v>
      </c>
      <c r="C34" s="2">
        <v>1939</v>
      </c>
      <c r="E34" s="2" t="s">
        <v>417</v>
      </c>
    </row>
    <row r="35" spans="1:5" x14ac:dyDescent="0.3">
      <c r="A35" s="11" t="s">
        <v>664</v>
      </c>
      <c r="C35" s="2">
        <v>600</v>
      </c>
      <c r="E35" s="2" t="s">
        <v>417</v>
      </c>
    </row>
    <row r="36" spans="1:5" x14ac:dyDescent="0.3">
      <c r="A36" s="11" t="s">
        <v>665</v>
      </c>
      <c r="C36" s="2">
        <v>1080</v>
      </c>
      <c r="E36" s="2" t="s">
        <v>417</v>
      </c>
    </row>
    <row r="37" spans="1:5" x14ac:dyDescent="0.3">
      <c r="A37" s="11" t="s">
        <v>666</v>
      </c>
      <c r="C37" s="2">
        <v>840</v>
      </c>
      <c r="E37" s="2" t="s">
        <v>417</v>
      </c>
    </row>
    <row r="38" spans="1:5" x14ac:dyDescent="0.3">
      <c r="A38" s="11" t="s">
        <v>668</v>
      </c>
      <c r="C38" s="2">
        <v>288</v>
      </c>
      <c r="E38" s="2" t="s">
        <v>417</v>
      </c>
    </row>
    <row r="39" spans="1:5" x14ac:dyDescent="0.3">
      <c r="A39" s="11" t="s">
        <v>667</v>
      </c>
      <c r="C39" s="2">
        <v>308</v>
      </c>
      <c r="E39" s="2" t="s">
        <v>417</v>
      </c>
    </row>
    <row r="40" spans="1:5" x14ac:dyDescent="0.3">
      <c r="A40" s="11" t="s">
        <v>669</v>
      </c>
      <c r="C40" s="2">
        <v>318</v>
      </c>
      <c r="E40" s="2" t="s">
        <v>417</v>
      </c>
    </row>
    <row r="41" spans="1:5" x14ac:dyDescent="0.3">
      <c r="A41" s="11" t="s">
        <v>670</v>
      </c>
      <c r="C41" s="2">
        <v>310</v>
      </c>
      <c r="E41" s="2" t="s">
        <v>417</v>
      </c>
    </row>
    <row r="42" spans="1:5" x14ac:dyDescent="0.3">
      <c r="A42" s="11" t="s">
        <v>671</v>
      </c>
      <c r="C42" s="2">
        <v>160</v>
      </c>
      <c r="E42" s="2" t="s">
        <v>417</v>
      </c>
    </row>
    <row r="43" spans="1:5" x14ac:dyDescent="0.3">
      <c r="A43" s="11" t="s">
        <v>689</v>
      </c>
      <c r="B43" s="2">
        <v>11745</v>
      </c>
      <c r="D43" s="2" t="s">
        <v>690</v>
      </c>
      <c r="E43" s="2"/>
    </row>
    <row r="44" spans="1:5" x14ac:dyDescent="0.3">
      <c r="A44" s="11" t="s">
        <v>672</v>
      </c>
      <c r="C44" s="2">
        <v>150</v>
      </c>
      <c r="E44" s="2" t="s">
        <v>417</v>
      </c>
    </row>
    <row r="45" spans="1:5" x14ac:dyDescent="0.3">
      <c r="A45" s="11" t="s">
        <v>673</v>
      </c>
      <c r="C45" s="2">
        <v>172</v>
      </c>
      <c r="E45" s="2" t="s">
        <v>417</v>
      </c>
    </row>
    <row r="46" spans="1:5" x14ac:dyDescent="0.3">
      <c r="A46" s="11" t="s">
        <v>674</v>
      </c>
      <c r="C46" s="2">
        <v>280</v>
      </c>
      <c r="E46" s="2" t="s">
        <v>417</v>
      </c>
    </row>
    <row r="47" spans="1:5" x14ac:dyDescent="0.3">
      <c r="A47" s="11" t="s">
        <v>675</v>
      </c>
      <c r="C47" s="2">
        <v>248</v>
      </c>
      <c r="E47" s="2" t="s">
        <v>417</v>
      </c>
    </row>
    <row r="48" spans="1:5" x14ac:dyDescent="0.3">
      <c r="A48" s="11" t="s">
        <v>676</v>
      </c>
      <c r="C48" s="2">
        <v>14531</v>
      </c>
      <c r="E48" s="2" t="s">
        <v>417</v>
      </c>
    </row>
    <row r="49" spans="1:5" x14ac:dyDescent="0.3">
      <c r="A49" s="3" t="s">
        <v>635</v>
      </c>
      <c r="B49" s="3"/>
      <c r="C49" s="3"/>
      <c r="D49" s="3"/>
      <c r="E49" s="3"/>
    </row>
    <row r="50" spans="1:5" x14ac:dyDescent="0.3">
      <c r="A50" s="11" t="s">
        <v>693</v>
      </c>
      <c r="B50" s="2">
        <v>4855</v>
      </c>
      <c r="D50" s="2" t="s">
        <v>694</v>
      </c>
    </row>
    <row r="51" spans="1:5" x14ac:dyDescent="0.3">
      <c r="A51" s="11" t="s">
        <v>686</v>
      </c>
      <c r="C51" s="2">
        <v>160</v>
      </c>
      <c r="E51" s="2" t="s">
        <v>417</v>
      </c>
    </row>
    <row r="52" spans="1:5" x14ac:dyDescent="0.3">
      <c r="A52" s="11" t="s">
        <v>687</v>
      </c>
      <c r="C52" s="2">
        <v>160</v>
      </c>
      <c r="E52" s="2" t="s">
        <v>417</v>
      </c>
    </row>
    <row r="53" spans="1:5" x14ac:dyDescent="0.3">
      <c r="A53" s="11" t="s">
        <v>688</v>
      </c>
      <c r="C53" s="2">
        <v>170</v>
      </c>
      <c r="E53" s="2" t="s">
        <v>417</v>
      </c>
    </row>
    <row r="54" spans="1:5" x14ac:dyDescent="0.3">
      <c r="A54" s="11" t="s">
        <v>695</v>
      </c>
      <c r="C54" s="2">
        <v>5050</v>
      </c>
      <c r="E54" s="2" t="s">
        <v>417</v>
      </c>
    </row>
    <row r="55" spans="1:5" x14ac:dyDescent="0.3">
      <c r="A55" s="11" t="s">
        <v>698</v>
      </c>
      <c r="C55" s="2">
        <v>161</v>
      </c>
      <c r="E55" s="2" t="s">
        <v>191</v>
      </c>
    </row>
    <row r="56" spans="1:5" x14ac:dyDescent="0.3">
      <c r="A56" s="11" t="s">
        <v>699</v>
      </c>
      <c r="C56" s="2">
        <v>463</v>
      </c>
      <c r="E56" s="2" t="s">
        <v>191</v>
      </c>
    </row>
    <row r="57" spans="1:5" x14ac:dyDescent="0.3">
      <c r="A57" s="11" t="s">
        <v>700</v>
      </c>
      <c r="C57" s="2">
        <v>646</v>
      </c>
      <c r="E57" s="2" t="s">
        <v>191</v>
      </c>
    </row>
    <row r="58" spans="1:5" x14ac:dyDescent="0.3">
      <c r="A58" s="11" t="s">
        <v>701</v>
      </c>
      <c r="C58" s="2">
        <v>540</v>
      </c>
      <c r="E58" s="2" t="s">
        <v>417</v>
      </c>
    </row>
    <row r="59" spans="1:5" x14ac:dyDescent="0.3">
      <c r="A59" s="11" t="s">
        <v>702</v>
      </c>
      <c r="C59" s="2">
        <v>486</v>
      </c>
      <c r="E59" s="2" t="s">
        <v>417</v>
      </c>
    </row>
    <row r="60" spans="1:5" x14ac:dyDescent="0.3">
      <c r="A60" s="11" t="s">
        <v>704</v>
      </c>
      <c r="C60" s="2">
        <v>539</v>
      </c>
      <c r="E60" s="2" t="s">
        <v>417</v>
      </c>
    </row>
    <row r="61" spans="1:5" x14ac:dyDescent="0.3">
      <c r="A61" s="11" t="s">
        <v>706</v>
      </c>
      <c r="C61" s="2">
        <v>138</v>
      </c>
      <c r="E61" s="2" t="s">
        <v>417</v>
      </c>
    </row>
    <row r="62" spans="1:5" x14ac:dyDescent="0.3">
      <c r="A62" s="11" t="s">
        <v>707</v>
      </c>
      <c r="C62" s="2">
        <v>138</v>
      </c>
      <c r="E62" s="2" t="s">
        <v>417</v>
      </c>
    </row>
    <row r="63" spans="1:5" x14ac:dyDescent="0.3">
      <c r="A63" s="11" t="s">
        <v>703</v>
      </c>
      <c r="C63" s="2">
        <v>1717</v>
      </c>
      <c r="E63" s="2" t="s">
        <v>417</v>
      </c>
    </row>
    <row r="64" spans="1:5" x14ac:dyDescent="0.3">
      <c r="A64" s="11" t="s">
        <v>705</v>
      </c>
      <c r="C64" s="2">
        <v>1922</v>
      </c>
      <c r="E64" s="2" t="s">
        <v>417</v>
      </c>
    </row>
    <row r="65" spans="1:5" x14ac:dyDescent="0.3">
      <c r="A65" s="11" t="s">
        <v>652</v>
      </c>
      <c r="C65" s="2">
        <v>140</v>
      </c>
      <c r="E65" s="2" t="s">
        <v>417</v>
      </c>
    </row>
    <row r="66" spans="1:5" x14ac:dyDescent="0.3">
      <c r="A66" s="11" t="s">
        <v>696</v>
      </c>
      <c r="C66" s="2">
        <v>161</v>
      </c>
      <c r="E66" s="2" t="s">
        <v>417</v>
      </c>
    </row>
    <row r="67" spans="1:5" x14ac:dyDescent="0.3">
      <c r="A67" s="11" t="s">
        <v>653</v>
      </c>
      <c r="C67" s="2">
        <v>160</v>
      </c>
      <c r="E67" s="2" t="s">
        <v>417</v>
      </c>
    </row>
    <row r="68" spans="1:5" x14ac:dyDescent="0.3">
      <c r="A68" s="11" t="s">
        <v>656</v>
      </c>
      <c r="C68" s="2">
        <v>258</v>
      </c>
      <c r="E68" s="2" t="s">
        <v>417</v>
      </c>
    </row>
    <row r="69" spans="1:5" x14ac:dyDescent="0.3">
      <c r="A69" s="11" t="s">
        <v>654</v>
      </c>
      <c r="C69" s="2">
        <v>129</v>
      </c>
      <c r="E69" s="2" t="s">
        <v>417</v>
      </c>
    </row>
    <row r="70" spans="1:5" x14ac:dyDescent="0.3">
      <c r="A70" s="11" t="s">
        <v>697</v>
      </c>
      <c r="C70" s="2">
        <v>3775</v>
      </c>
      <c r="E70" s="2" t="s">
        <v>417</v>
      </c>
    </row>
    <row r="71" spans="1:5" x14ac:dyDescent="0.3">
      <c r="A71" s="3" t="s">
        <v>708</v>
      </c>
      <c r="B71" s="3"/>
      <c r="C71" s="3"/>
      <c r="D71" s="3"/>
      <c r="E71" s="3"/>
    </row>
    <row r="72" spans="1:5" x14ac:dyDescent="0.3">
      <c r="A72" s="11" t="s">
        <v>710</v>
      </c>
      <c r="C72" s="2">
        <v>750</v>
      </c>
      <c r="D72" s="2" t="s">
        <v>692</v>
      </c>
      <c r="E72" s="2" t="s">
        <v>209</v>
      </c>
    </row>
    <row r="73" spans="1:5" x14ac:dyDescent="0.3">
      <c r="A73" s="11" t="s">
        <v>709</v>
      </c>
      <c r="C73" s="2">
        <v>13750</v>
      </c>
      <c r="E73" s="2" t="s">
        <v>417</v>
      </c>
    </row>
    <row r="74" spans="1:5" x14ac:dyDescent="0.3">
      <c r="A74" s="11" t="s">
        <v>711</v>
      </c>
      <c r="C74" s="2">
        <v>2100</v>
      </c>
      <c r="D74" s="2" t="s">
        <v>712</v>
      </c>
      <c r="E74" s="2" t="s">
        <v>209</v>
      </c>
    </row>
    <row r="75" spans="1:5" x14ac:dyDescent="0.3">
      <c r="A75" s="11" t="s">
        <v>713</v>
      </c>
      <c r="C75" s="2">
        <v>750</v>
      </c>
      <c r="D75" s="2" t="s">
        <v>714</v>
      </c>
      <c r="E75" s="2" t="s">
        <v>417</v>
      </c>
    </row>
    <row r="76" spans="1:5" x14ac:dyDescent="0.3">
      <c r="A76" s="11" t="s">
        <v>715</v>
      </c>
      <c r="C76" s="2">
        <v>1000</v>
      </c>
      <c r="D76" s="2" t="s">
        <v>716</v>
      </c>
      <c r="E76" s="2" t="s">
        <v>417</v>
      </c>
    </row>
    <row r="77" spans="1:5" x14ac:dyDescent="0.3">
      <c r="A77" s="11" t="s">
        <v>717</v>
      </c>
      <c r="C77" s="2">
        <v>4900</v>
      </c>
      <c r="D77" s="2" t="s">
        <v>718</v>
      </c>
      <c r="E77" s="2" t="s">
        <v>417</v>
      </c>
    </row>
    <row r="78" spans="1:5" x14ac:dyDescent="0.3">
      <c r="A78" s="11" t="s">
        <v>719</v>
      </c>
      <c r="C78" s="2">
        <v>2100</v>
      </c>
      <c r="D78" s="2" t="s">
        <v>712</v>
      </c>
      <c r="E78" s="2" t="s">
        <v>209</v>
      </c>
    </row>
    <row r="79" spans="1:5" x14ac:dyDescent="0.3">
      <c r="A79" s="11" t="s">
        <v>720</v>
      </c>
      <c r="C79" s="2">
        <v>1393</v>
      </c>
      <c r="E79" s="2" t="s">
        <v>191</v>
      </c>
    </row>
    <row r="80" spans="1:5" x14ac:dyDescent="0.3">
      <c r="A80" s="11" t="s">
        <v>721</v>
      </c>
      <c r="C80" s="2">
        <v>373</v>
      </c>
      <c r="E80" s="2" t="s">
        <v>191</v>
      </c>
    </row>
    <row r="81" spans="1:5" x14ac:dyDescent="0.3">
      <c r="A81" s="11" t="s">
        <v>722</v>
      </c>
      <c r="C81" s="2">
        <v>1920</v>
      </c>
      <c r="E81" s="2" t="s">
        <v>417</v>
      </c>
    </row>
    <row r="82" spans="1:5" x14ac:dyDescent="0.3">
      <c r="A82" s="11" t="s">
        <v>724</v>
      </c>
      <c r="C82" s="2">
        <v>400</v>
      </c>
      <c r="E82" s="2" t="s">
        <v>417</v>
      </c>
    </row>
    <row r="83" spans="1:5" x14ac:dyDescent="0.3">
      <c r="A83" s="11" t="s">
        <v>725</v>
      </c>
      <c r="C83" s="2">
        <v>600</v>
      </c>
      <c r="E83" s="2" t="s">
        <v>417</v>
      </c>
    </row>
    <row r="84" spans="1:5" x14ac:dyDescent="0.3">
      <c r="A84" s="11" t="s">
        <v>723</v>
      </c>
      <c r="C84" s="2">
        <v>410</v>
      </c>
      <c r="E84" s="2" t="s">
        <v>417</v>
      </c>
    </row>
    <row r="85" spans="1:5" x14ac:dyDescent="0.3">
      <c r="A85" s="11" t="s">
        <v>726</v>
      </c>
      <c r="C85" s="2">
        <v>455</v>
      </c>
      <c r="E85" s="2" t="s">
        <v>191</v>
      </c>
    </row>
    <row r="86" spans="1:5" x14ac:dyDescent="0.3">
      <c r="A86" s="11" t="s">
        <v>726</v>
      </c>
      <c r="C86" s="2">
        <v>455</v>
      </c>
      <c r="E86" s="2" t="s">
        <v>191</v>
      </c>
    </row>
    <row r="87" spans="1:5" x14ac:dyDescent="0.3">
      <c r="A87" s="11" t="s">
        <v>727</v>
      </c>
      <c r="C87" s="2">
        <v>2718</v>
      </c>
      <c r="E87" s="2" t="s">
        <v>191</v>
      </c>
    </row>
    <row r="88" spans="1:5" x14ac:dyDescent="0.3">
      <c r="A88" s="11" t="s">
        <v>727</v>
      </c>
      <c r="C88" s="2">
        <v>2718</v>
      </c>
      <c r="E88" s="2" t="s">
        <v>191</v>
      </c>
    </row>
    <row r="89" spans="1:5" x14ac:dyDescent="0.3">
      <c r="A89" s="11" t="s">
        <v>727</v>
      </c>
      <c r="C89" s="2">
        <v>2718</v>
      </c>
      <c r="E89" s="2" t="s">
        <v>191</v>
      </c>
    </row>
    <row r="90" spans="1:5" x14ac:dyDescent="0.3">
      <c r="A90" s="11" t="s">
        <v>728</v>
      </c>
      <c r="C90" s="2">
        <v>900</v>
      </c>
      <c r="E90" s="2" t="s">
        <v>191</v>
      </c>
    </row>
    <row r="91" spans="1:5" x14ac:dyDescent="0.3">
      <c r="A91" s="11" t="s">
        <v>728</v>
      </c>
      <c r="C91" s="2">
        <v>900</v>
      </c>
      <c r="E91" s="2" t="s">
        <v>191</v>
      </c>
    </row>
    <row r="92" spans="1:5" x14ac:dyDescent="0.3">
      <c r="A92" s="11" t="s">
        <v>728</v>
      </c>
      <c r="C92" s="2">
        <v>900</v>
      </c>
      <c r="E92" s="2" t="s">
        <v>191</v>
      </c>
    </row>
    <row r="93" spans="1:5" x14ac:dyDescent="0.3">
      <c r="A93" s="11" t="s">
        <v>729</v>
      </c>
      <c r="C93" s="2">
        <v>1364</v>
      </c>
      <c r="E93" s="2" t="s">
        <v>191</v>
      </c>
    </row>
    <row r="94" spans="1:5" x14ac:dyDescent="0.3">
      <c r="A94" s="11" t="s">
        <v>730</v>
      </c>
      <c r="C94" s="2">
        <v>1364</v>
      </c>
      <c r="E94" s="2" t="s">
        <v>191</v>
      </c>
    </row>
    <row r="95" spans="1:5" x14ac:dyDescent="0.3">
      <c r="A95" s="11" t="s">
        <v>736</v>
      </c>
      <c r="C95" s="2">
        <v>6310</v>
      </c>
      <c r="D95" s="2" t="s">
        <v>818</v>
      </c>
      <c r="E95" s="2" t="s">
        <v>191</v>
      </c>
    </row>
    <row r="96" spans="1:5" x14ac:dyDescent="0.3">
      <c r="A96" s="11" t="s">
        <v>732</v>
      </c>
      <c r="C96" s="2">
        <v>150</v>
      </c>
      <c r="E96" s="2" t="s">
        <v>209</v>
      </c>
    </row>
    <row r="97" spans="1:5" x14ac:dyDescent="0.3">
      <c r="A97" s="11" t="s">
        <v>733</v>
      </c>
      <c r="C97" s="2">
        <v>260</v>
      </c>
      <c r="E97" s="2" t="s">
        <v>209</v>
      </c>
    </row>
    <row r="98" spans="1:5" x14ac:dyDescent="0.3">
      <c r="A98" s="11" t="s">
        <v>578</v>
      </c>
      <c r="C98" s="2">
        <v>19500</v>
      </c>
      <c r="D98" s="2" t="s">
        <v>731</v>
      </c>
      <c r="E98" s="2" t="s">
        <v>417</v>
      </c>
    </row>
    <row r="99" spans="1:5" x14ac:dyDescent="0.3">
      <c r="A99" s="11" t="s">
        <v>734</v>
      </c>
      <c r="C99" s="2">
        <v>250</v>
      </c>
      <c r="E99" s="2" t="s">
        <v>209</v>
      </c>
    </row>
    <row r="100" spans="1:5" x14ac:dyDescent="0.3">
      <c r="A100" s="11" t="s">
        <v>656</v>
      </c>
      <c r="C100" s="2">
        <v>258</v>
      </c>
      <c r="E100" s="2" t="s">
        <v>417</v>
      </c>
    </row>
    <row r="101" spans="1:5" x14ac:dyDescent="0.3">
      <c r="A101" s="11" t="s">
        <v>735</v>
      </c>
      <c r="C101" s="2">
        <v>150</v>
      </c>
      <c r="E101" s="2" t="s">
        <v>417</v>
      </c>
    </row>
    <row r="102" spans="1:5" x14ac:dyDescent="0.3">
      <c r="A102" s="3" t="s">
        <v>636</v>
      </c>
      <c r="B102" s="3"/>
      <c r="C102" s="3"/>
      <c r="D102" s="3"/>
      <c r="E102" s="3"/>
    </row>
    <row r="103" spans="1:5" x14ac:dyDescent="0.3">
      <c r="A103" s="11" t="s">
        <v>737</v>
      </c>
      <c r="C103" s="2">
        <v>10520</v>
      </c>
      <c r="D103" s="2" t="s">
        <v>759</v>
      </c>
      <c r="E103" s="2" t="s">
        <v>209</v>
      </c>
    </row>
    <row r="104" spans="1:5" x14ac:dyDescent="0.3">
      <c r="A104" s="11" t="s">
        <v>738</v>
      </c>
      <c r="C104" s="2">
        <v>1360</v>
      </c>
      <c r="D104" s="2" t="s">
        <v>760</v>
      </c>
      <c r="E104" s="2" t="s">
        <v>209</v>
      </c>
    </row>
    <row r="105" spans="1:5" x14ac:dyDescent="0.3">
      <c r="A105" s="11" t="s">
        <v>739</v>
      </c>
      <c r="C105" s="2">
        <v>2000</v>
      </c>
      <c r="D105" s="2" t="s">
        <v>757</v>
      </c>
      <c r="E105" s="2" t="s">
        <v>209</v>
      </c>
    </row>
    <row r="106" spans="1:5" x14ac:dyDescent="0.3">
      <c r="A106" s="11" t="s">
        <v>740</v>
      </c>
      <c r="C106" s="2">
        <v>4600</v>
      </c>
      <c r="E106" s="2" t="s">
        <v>417</v>
      </c>
    </row>
    <row r="107" spans="1:5" x14ac:dyDescent="0.3">
      <c r="A107" s="11" t="s">
        <v>741</v>
      </c>
      <c r="C107" s="2">
        <v>6500</v>
      </c>
      <c r="E107" s="2" t="s">
        <v>417</v>
      </c>
    </row>
    <row r="108" spans="1:5" x14ac:dyDescent="0.3">
      <c r="A108" s="11" t="s">
        <v>741</v>
      </c>
      <c r="C108" s="2">
        <v>2500</v>
      </c>
      <c r="E108" s="2" t="s">
        <v>417</v>
      </c>
    </row>
    <row r="109" spans="1:5" x14ac:dyDescent="0.3">
      <c r="A109" s="11" t="s">
        <v>740</v>
      </c>
      <c r="C109" s="2">
        <v>6000</v>
      </c>
      <c r="E109" s="2" t="s">
        <v>417</v>
      </c>
    </row>
    <row r="110" spans="1:5" x14ac:dyDescent="0.3">
      <c r="A110" s="11" t="s">
        <v>742</v>
      </c>
      <c r="C110" s="2">
        <v>610</v>
      </c>
      <c r="D110" s="2" t="s">
        <v>758</v>
      </c>
      <c r="E110" s="2" t="s">
        <v>417</v>
      </c>
    </row>
    <row r="111" spans="1:5" x14ac:dyDescent="0.3">
      <c r="A111" s="11" t="s">
        <v>764</v>
      </c>
      <c r="C111" s="2">
        <v>1500</v>
      </c>
      <c r="D111" s="2" t="s">
        <v>765</v>
      </c>
      <c r="E111" s="2" t="s">
        <v>194</v>
      </c>
    </row>
    <row r="112" spans="1:5" x14ac:dyDescent="0.3">
      <c r="A112" s="11" t="s">
        <v>766</v>
      </c>
      <c r="C112" s="2">
        <v>864</v>
      </c>
      <c r="E112" s="2" t="s">
        <v>191</v>
      </c>
    </row>
    <row r="113" spans="1:5" x14ac:dyDescent="0.3">
      <c r="A113" s="11" t="s">
        <v>767</v>
      </c>
      <c r="C113" s="2">
        <v>1188</v>
      </c>
      <c r="E113" s="2" t="s">
        <v>191</v>
      </c>
    </row>
    <row r="114" spans="1:5" x14ac:dyDescent="0.3">
      <c r="A114" s="11" t="s">
        <v>763</v>
      </c>
      <c r="C114" s="2">
        <v>32450</v>
      </c>
      <c r="E114" s="2" t="s">
        <v>417</v>
      </c>
    </row>
    <row r="115" spans="1:5" x14ac:dyDescent="0.3">
      <c r="A115" s="11" t="s">
        <v>743</v>
      </c>
      <c r="C115" s="2">
        <v>2200</v>
      </c>
      <c r="D115" s="2" t="s">
        <v>761</v>
      </c>
      <c r="E115" s="2" t="s">
        <v>209</v>
      </c>
    </row>
    <row r="116" spans="1:5" x14ac:dyDescent="0.3">
      <c r="A116" s="11" t="s">
        <v>744</v>
      </c>
      <c r="C116" s="2">
        <v>6040</v>
      </c>
      <c r="D116" s="2" t="s">
        <v>762</v>
      </c>
      <c r="E116" s="2" t="s">
        <v>209</v>
      </c>
    </row>
    <row r="117" spans="1:5" x14ac:dyDescent="0.3">
      <c r="A117" s="11" t="s">
        <v>768</v>
      </c>
      <c r="C117" s="2">
        <v>106</v>
      </c>
      <c r="E117" s="2" t="s">
        <v>417</v>
      </c>
    </row>
    <row r="118" spans="1:5" x14ac:dyDescent="0.3">
      <c r="A118" s="11" t="s">
        <v>768</v>
      </c>
      <c r="C118" s="2">
        <v>107</v>
      </c>
      <c r="E118" s="2" t="s">
        <v>417</v>
      </c>
    </row>
    <row r="119" spans="1:5" x14ac:dyDescent="0.3">
      <c r="A119" s="11" t="s">
        <v>768</v>
      </c>
      <c r="C119" s="2">
        <v>106</v>
      </c>
      <c r="E119" s="2" t="s">
        <v>417</v>
      </c>
    </row>
    <row r="120" spans="1:5" x14ac:dyDescent="0.3">
      <c r="A120" s="11" t="s">
        <v>652</v>
      </c>
      <c r="C120" s="2">
        <v>140</v>
      </c>
      <c r="E120" s="2" t="s">
        <v>417</v>
      </c>
    </row>
    <row r="121" spans="1:5" x14ac:dyDescent="0.3">
      <c r="A121" s="11" t="s">
        <v>769</v>
      </c>
      <c r="C121" s="2">
        <v>182</v>
      </c>
      <c r="E121" s="2" t="s">
        <v>417</v>
      </c>
    </row>
    <row r="122" spans="1:5" x14ac:dyDescent="0.3">
      <c r="A122" s="11" t="s">
        <v>770</v>
      </c>
      <c r="C122" s="2">
        <v>252</v>
      </c>
      <c r="E122" s="2" t="s">
        <v>417</v>
      </c>
    </row>
    <row r="123" spans="1:5" x14ac:dyDescent="0.3">
      <c r="A123" s="11" t="s">
        <v>771</v>
      </c>
      <c r="C123" s="2">
        <v>2138</v>
      </c>
      <c r="E123" s="2" t="s">
        <v>191</v>
      </c>
    </row>
    <row r="124" spans="1:5" x14ac:dyDescent="0.3">
      <c r="A124" s="3" t="s">
        <v>637</v>
      </c>
      <c r="B124" s="3"/>
      <c r="C124" s="3"/>
      <c r="D124" s="3"/>
      <c r="E124" s="3"/>
    </row>
    <row r="125" spans="1:5" x14ac:dyDescent="0.3">
      <c r="A125" t="s">
        <v>772</v>
      </c>
      <c r="C125" s="2">
        <v>1300</v>
      </c>
      <c r="E125" s="2" t="s">
        <v>417</v>
      </c>
    </row>
    <row r="126" spans="1:5" x14ac:dyDescent="0.3">
      <c r="A126" t="s">
        <v>776</v>
      </c>
      <c r="C126" s="2">
        <v>3200</v>
      </c>
      <c r="D126" s="2" t="s">
        <v>775</v>
      </c>
      <c r="E126" s="2" t="s">
        <v>417</v>
      </c>
    </row>
    <row r="127" spans="1:5" x14ac:dyDescent="0.3">
      <c r="A127" t="s">
        <v>773</v>
      </c>
      <c r="C127" s="2">
        <v>1980</v>
      </c>
      <c r="E127" s="2" t="s">
        <v>417</v>
      </c>
    </row>
    <row r="128" spans="1:5" x14ac:dyDescent="0.3">
      <c r="A128" t="s">
        <v>774</v>
      </c>
      <c r="C128" s="2">
        <v>2500</v>
      </c>
      <c r="E128" s="2" t="s">
        <v>417</v>
      </c>
    </row>
    <row r="129" spans="1:5" x14ac:dyDescent="0.3">
      <c r="A129" s="11" t="s">
        <v>777</v>
      </c>
      <c r="C129" s="2">
        <v>2200</v>
      </c>
      <c r="D129" s="2" t="s">
        <v>781</v>
      </c>
      <c r="E129" s="2" t="s">
        <v>209</v>
      </c>
    </row>
    <row r="130" spans="1:5" x14ac:dyDescent="0.3">
      <c r="A130" s="11" t="s">
        <v>778</v>
      </c>
      <c r="C130" s="2">
        <v>490</v>
      </c>
      <c r="E130" s="2" t="s">
        <v>209</v>
      </c>
    </row>
    <row r="131" spans="1:5" x14ac:dyDescent="0.3">
      <c r="A131" s="11" t="s">
        <v>639</v>
      </c>
      <c r="C131" s="2">
        <v>18000</v>
      </c>
      <c r="E131" s="2" t="s">
        <v>194</v>
      </c>
    </row>
    <row r="132" spans="1:5" x14ac:dyDescent="0.3">
      <c r="A132" s="11" t="s">
        <v>779</v>
      </c>
      <c r="C132" s="2">
        <v>800</v>
      </c>
      <c r="E132" s="2" t="s">
        <v>209</v>
      </c>
    </row>
    <row r="133" spans="1:5" x14ac:dyDescent="0.3">
      <c r="A133" s="11" t="s">
        <v>780</v>
      </c>
      <c r="C133" s="2">
        <v>0</v>
      </c>
      <c r="D133" s="2" t="s">
        <v>782</v>
      </c>
      <c r="E133" s="2" t="s">
        <v>209</v>
      </c>
    </row>
    <row r="134" spans="1:5" x14ac:dyDescent="0.3">
      <c r="A134" s="11" t="s">
        <v>790</v>
      </c>
      <c r="C134" s="2">
        <v>13564</v>
      </c>
      <c r="E134" s="2" t="s">
        <v>191</v>
      </c>
    </row>
    <row r="135" spans="1:5" x14ac:dyDescent="0.3">
      <c r="A135" s="11" t="s">
        <v>783</v>
      </c>
      <c r="C135" s="2">
        <v>4830</v>
      </c>
      <c r="D135" s="2" t="s">
        <v>784</v>
      </c>
      <c r="E135" s="2" t="s">
        <v>417</v>
      </c>
    </row>
    <row r="136" spans="1:5" x14ac:dyDescent="0.3">
      <c r="A136" s="11" t="s">
        <v>656</v>
      </c>
      <c r="C136" s="2">
        <v>258</v>
      </c>
      <c r="E136" s="2" t="s">
        <v>417</v>
      </c>
    </row>
    <row r="137" spans="1:5" x14ac:dyDescent="0.3">
      <c r="A137" s="11" t="s">
        <v>785</v>
      </c>
      <c r="C137" s="2">
        <v>127</v>
      </c>
      <c r="E137" s="2" t="s">
        <v>417</v>
      </c>
    </row>
    <row r="138" spans="1:5" x14ac:dyDescent="0.3">
      <c r="A138" s="11" t="s">
        <v>786</v>
      </c>
      <c r="C138" s="2">
        <v>3407</v>
      </c>
      <c r="E138" s="2" t="s">
        <v>417</v>
      </c>
    </row>
    <row r="139" spans="1:5" x14ac:dyDescent="0.3">
      <c r="A139" s="11" t="s">
        <v>787</v>
      </c>
      <c r="C139" s="2">
        <v>423</v>
      </c>
      <c r="E139" s="2" t="s">
        <v>417</v>
      </c>
    </row>
    <row r="140" spans="1:5" x14ac:dyDescent="0.3">
      <c r="A140" s="11" t="s">
        <v>788</v>
      </c>
      <c r="C140" s="2">
        <v>120</v>
      </c>
      <c r="E140" s="2" t="s">
        <v>417</v>
      </c>
    </row>
    <row r="141" spans="1:5" x14ac:dyDescent="0.3">
      <c r="A141" s="11" t="s">
        <v>244</v>
      </c>
      <c r="C141" s="2">
        <v>200</v>
      </c>
      <c r="E141" s="2" t="s">
        <v>417</v>
      </c>
    </row>
    <row r="142" spans="1:5" x14ac:dyDescent="0.3">
      <c r="A142" s="11" t="s">
        <v>789</v>
      </c>
      <c r="C142" s="2">
        <v>332</v>
      </c>
      <c r="E142" s="2" t="s">
        <v>417</v>
      </c>
    </row>
    <row r="143" spans="1:5" x14ac:dyDescent="0.3">
      <c r="A143" s="3" t="s">
        <v>638</v>
      </c>
      <c r="B143" s="3"/>
      <c r="C143" s="3"/>
      <c r="D143" s="3"/>
      <c r="E143" s="3"/>
    </row>
    <row r="144" spans="1:5" x14ac:dyDescent="0.3">
      <c r="A144" s="11" t="s">
        <v>791</v>
      </c>
      <c r="C144" s="2">
        <v>183</v>
      </c>
      <c r="E144" s="2" t="s">
        <v>417</v>
      </c>
    </row>
    <row r="145" spans="1:5" x14ac:dyDescent="0.3">
      <c r="A145" s="11" t="s">
        <v>792</v>
      </c>
      <c r="C145" s="2">
        <v>2200</v>
      </c>
      <c r="D145" s="2" t="s">
        <v>781</v>
      </c>
      <c r="E145" s="2" t="s">
        <v>209</v>
      </c>
    </row>
    <row r="146" spans="1:5" x14ac:dyDescent="0.3">
      <c r="A146" s="11" t="s">
        <v>794</v>
      </c>
      <c r="C146" s="2">
        <v>21350</v>
      </c>
      <c r="D146" s="2" t="s">
        <v>795</v>
      </c>
      <c r="E146" s="2" t="s">
        <v>417</v>
      </c>
    </row>
    <row r="147" spans="1:5" x14ac:dyDescent="0.3">
      <c r="A147" s="11" t="s">
        <v>796</v>
      </c>
      <c r="C147" s="2">
        <v>3452</v>
      </c>
      <c r="D147" s="2" t="s">
        <v>797</v>
      </c>
      <c r="E147" s="2" t="s">
        <v>191</v>
      </c>
    </row>
    <row r="148" spans="1:5" x14ac:dyDescent="0.3">
      <c r="A148" s="11" t="s">
        <v>798</v>
      </c>
      <c r="C148" s="2">
        <v>1736</v>
      </c>
      <c r="D148" s="2" t="s">
        <v>799</v>
      </c>
      <c r="E148" s="2" t="s">
        <v>191</v>
      </c>
    </row>
    <row r="149" spans="1:5" x14ac:dyDescent="0.3">
      <c r="A149" s="11" t="s">
        <v>800</v>
      </c>
      <c r="C149" s="2">
        <v>5178</v>
      </c>
      <c r="D149" s="2" t="s">
        <v>801</v>
      </c>
      <c r="E149" s="2" t="s">
        <v>191</v>
      </c>
    </row>
    <row r="150" spans="1:5" x14ac:dyDescent="0.3">
      <c r="A150" s="11" t="s">
        <v>802</v>
      </c>
      <c r="C150" s="2">
        <v>281</v>
      </c>
      <c r="D150" s="2" t="s">
        <v>799</v>
      </c>
      <c r="E150" s="2" t="s">
        <v>417</v>
      </c>
    </row>
    <row r="151" spans="1:5" x14ac:dyDescent="0.3">
      <c r="A151" s="11" t="s">
        <v>803</v>
      </c>
      <c r="C151" s="2">
        <v>713</v>
      </c>
      <c r="D151" s="2" t="s">
        <v>801</v>
      </c>
      <c r="E151" s="2" t="s">
        <v>417</v>
      </c>
    </row>
    <row r="152" spans="1:5" x14ac:dyDescent="0.3">
      <c r="A152" s="11" t="s">
        <v>804</v>
      </c>
      <c r="C152" s="2">
        <v>292</v>
      </c>
      <c r="D152" s="2" t="s">
        <v>799</v>
      </c>
      <c r="E152" s="2" t="s">
        <v>417</v>
      </c>
    </row>
    <row r="153" spans="1:5" x14ac:dyDescent="0.3">
      <c r="A153" s="11" t="s">
        <v>805</v>
      </c>
      <c r="C153" s="2">
        <v>410</v>
      </c>
      <c r="D153" s="2" t="s">
        <v>799</v>
      </c>
      <c r="E153" s="2" t="s">
        <v>417</v>
      </c>
    </row>
    <row r="154" spans="1:5" x14ac:dyDescent="0.3">
      <c r="A154" s="11" t="s">
        <v>806</v>
      </c>
      <c r="C154" s="2">
        <v>302</v>
      </c>
      <c r="D154" s="2" t="s">
        <v>799</v>
      </c>
      <c r="E154" s="2" t="s">
        <v>417</v>
      </c>
    </row>
    <row r="155" spans="1:5" x14ac:dyDescent="0.3">
      <c r="A155" s="11" t="s">
        <v>970</v>
      </c>
      <c r="C155" s="2">
        <v>14940</v>
      </c>
      <c r="D155" s="2" t="s">
        <v>988</v>
      </c>
      <c r="E155" s="2" t="s">
        <v>191</v>
      </c>
    </row>
    <row r="156" spans="1:5" x14ac:dyDescent="0.3">
      <c r="A156" s="11" t="s">
        <v>971</v>
      </c>
      <c r="C156" s="2">
        <v>1280</v>
      </c>
      <c r="E156" s="2" t="s">
        <v>191</v>
      </c>
    </row>
    <row r="157" spans="1:5" x14ac:dyDescent="0.3">
      <c r="A157" s="11" t="s">
        <v>972</v>
      </c>
      <c r="C157" s="2">
        <v>258</v>
      </c>
      <c r="E157" s="2" t="s">
        <v>191</v>
      </c>
    </row>
    <row r="158" spans="1:5" x14ac:dyDescent="0.3">
      <c r="A158" s="11" t="s">
        <v>973</v>
      </c>
      <c r="C158" s="2">
        <v>218</v>
      </c>
      <c r="E158" s="2" t="s">
        <v>191</v>
      </c>
    </row>
    <row r="159" spans="1:5" x14ac:dyDescent="0.3">
      <c r="A159" s="11" t="s">
        <v>974</v>
      </c>
      <c r="C159" s="2">
        <v>299</v>
      </c>
      <c r="E159" s="2" t="s">
        <v>191</v>
      </c>
    </row>
    <row r="160" spans="1:5" x14ac:dyDescent="0.3">
      <c r="A160" s="11" t="s">
        <v>975</v>
      </c>
      <c r="C160" s="2">
        <v>277</v>
      </c>
      <c r="E160" s="2" t="s">
        <v>191</v>
      </c>
    </row>
    <row r="161" spans="1:5" x14ac:dyDescent="0.3">
      <c r="A161" s="11" t="s">
        <v>976</v>
      </c>
      <c r="C161" s="2">
        <v>554</v>
      </c>
      <c r="E161" s="2" t="s">
        <v>191</v>
      </c>
    </row>
    <row r="162" spans="1:5" x14ac:dyDescent="0.3">
      <c r="A162" s="11" t="s">
        <v>977</v>
      </c>
      <c r="C162" s="2">
        <v>696</v>
      </c>
      <c r="E162" s="2" t="s">
        <v>191</v>
      </c>
    </row>
    <row r="163" spans="1:5" x14ac:dyDescent="0.3">
      <c r="A163" s="11" t="s">
        <v>978</v>
      </c>
      <c r="C163" s="2">
        <v>800</v>
      </c>
      <c r="E163" s="2" t="s">
        <v>191</v>
      </c>
    </row>
    <row r="164" spans="1:5" x14ac:dyDescent="0.3">
      <c r="A164" s="11" t="s">
        <v>979</v>
      </c>
      <c r="C164" s="2">
        <v>1800</v>
      </c>
      <c r="E164" s="2" t="s">
        <v>191</v>
      </c>
    </row>
    <row r="165" spans="1:5" x14ac:dyDescent="0.3">
      <c r="A165" s="11" t="s">
        <v>980</v>
      </c>
      <c r="C165" s="2">
        <v>1100</v>
      </c>
      <c r="E165" s="2" t="s">
        <v>191</v>
      </c>
    </row>
    <row r="166" spans="1:5" x14ac:dyDescent="0.3">
      <c r="A166" s="11" t="s">
        <v>981</v>
      </c>
      <c r="C166" s="2">
        <v>1799</v>
      </c>
      <c r="E166" s="2" t="s">
        <v>191</v>
      </c>
    </row>
    <row r="167" spans="1:5" x14ac:dyDescent="0.3">
      <c r="A167" s="11" t="s">
        <v>982</v>
      </c>
      <c r="C167" s="2">
        <v>300</v>
      </c>
      <c r="E167" s="2" t="s">
        <v>191</v>
      </c>
    </row>
    <row r="168" spans="1:5" x14ac:dyDescent="0.3">
      <c r="A168" s="11" t="s">
        <v>983</v>
      </c>
      <c r="C168" s="2">
        <v>149</v>
      </c>
      <c r="E168" s="2" t="s">
        <v>191</v>
      </c>
    </row>
    <row r="169" spans="1:5" x14ac:dyDescent="0.3">
      <c r="A169" s="11" t="s">
        <v>984</v>
      </c>
      <c r="C169" s="2">
        <v>149</v>
      </c>
      <c r="E169" s="2" t="s">
        <v>191</v>
      </c>
    </row>
    <row r="170" spans="1:5" x14ac:dyDescent="0.3">
      <c r="A170" s="11" t="s">
        <v>985</v>
      </c>
      <c r="C170" s="2">
        <v>139</v>
      </c>
      <c r="E170" s="2" t="s">
        <v>191</v>
      </c>
    </row>
    <row r="171" spans="1:5" x14ac:dyDescent="0.3">
      <c r="A171" s="11" t="s">
        <v>986</v>
      </c>
      <c r="C171" s="2">
        <v>149</v>
      </c>
      <c r="E171" s="2" t="s">
        <v>191</v>
      </c>
    </row>
    <row r="172" spans="1:5" x14ac:dyDescent="0.3">
      <c r="A172" s="11" t="s">
        <v>987</v>
      </c>
      <c r="C172" s="2">
        <v>149</v>
      </c>
      <c r="E172" s="2" t="s">
        <v>191</v>
      </c>
    </row>
    <row r="173" spans="1:5" x14ac:dyDescent="0.3">
      <c r="A173" s="11" t="s">
        <v>807</v>
      </c>
      <c r="C173" s="2">
        <v>1810</v>
      </c>
      <c r="E173" s="2" t="s">
        <v>191</v>
      </c>
    </row>
    <row r="174" spans="1:5" x14ac:dyDescent="0.3">
      <c r="A174" s="11" t="s">
        <v>808</v>
      </c>
      <c r="C174" s="2">
        <v>3628</v>
      </c>
      <c r="E174" s="2" t="s">
        <v>191</v>
      </c>
    </row>
    <row r="175" spans="1:5" x14ac:dyDescent="0.3">
      <c r="A175" s="11" t="s">
        <v>809</v>
      </c>
      <c r="C175" s="2">
        <v>1780</v>
      </c>
      <c r="D175" s="2" t="s">
        <v>799</v>
      </c>
      <c r="E175" s="2" t="s">
        <v>191</v>
      </c>
    </row>
    <row r="176" spans="1:5" x14ac:dyDescent="0.3">
      <c r="A176" s="11" t="s">
        <v>810</v>
      </c>
      <c r="C176" s="2">
        <v>2280</v>
      </c>
      <c r="D176" s="2" t="s">
        <v>799</v>
      </c>
      <c r="E176" s="2" t="s">
        <v>191</v>
      </c>
    </row>
    <row r="177" spans="1:5" x14ac:dyDescent="0.3">
      <c r="A177" s="11" t="s">
        <v>811</v>
      </c>
      <c r="C177" s="2">
        <v>1500</v>
      </c>
      <c r="D177" s="2" t="s">
        <v>799</v>
      </c>
      <c r="E177" s="2" t="s">
        <v>191</v>
      </c>
    </row>
    <row r="178" spans="1:5" x14ac:dyDescent="0.3">
      <c r="A178" s="11" t="s">
        <v>812</v>
      </c>
      <c r="C178" s="2">
        <v>383</v>
      </c>
      <c r="D178" s="2" t="s">
        <v>801</v>
      </c>
      <c r="E178" s="2" t="s">
        <v>191</v>
      </c>
    </row>
    <row r="179" spans="1:5" x14ac:dyDescent="0.3">
      <c r="A179" s="11" t="s">
        <v>813</v>
      </c>
      <c r="C179" s="2">
        <v>164</v>
      </c>
      <c r="D179" s="2" t="s">
        <v>797</v>
      </c>
      <c r="E179" s="2" t="s">
        <v>417</v>
      </c>
    </row>
    <row r="180" spans="1:5" x14ac:dyDescent="0.3">
      <c r="A180" s="11" t="s">
        <v>814</v>
      </c>
      <c r="C180" s="2">
        <v>10560</v>
      </c>
      <c r="D180" s="2" t="s">
        <v>815</v>
      </c>
      <c r="E180" s="2" t="s">
        <v>417</v>
      </c>
    </row>
    <row r="181" spans="1:5" x14ac:dyDescent="0.3">
      <c r="A181" s="11" t="s">
        <v>816</v>
      </c>
      <c r="C181" s="2">
        <v>5180</v>
      </c>
      <c r="E181" s="2" t="s">
        <v>191</v>
      </c>
    </row>
    <row r="182" spans="1:5" x14ac:dyDescent="0.3">
      <c r="A182" s="11" t="s">
        <v>963</v>
      </c>
      <c r="C182" s="2">
        <v>3150</v>
      </c>
      <c r="E182" s="2" t="s">
        <v>191</v>
      </c>
    </row>
    <row r="183" spans="1:5" x14ac:dyDescent="0.3">
      <c r="A183" s="11" t="s">
        <v>964</v>
      </c>
      <c r="C183" s="2">
        <v>1400</v>
      </c>
      <c r="E183" s="2" t="s">
        <v>191</v>
      </c>
    </row>
    <row r="184" spans="1:5" x14ac:dyDescent="0.3">
      <c r="A184" s="11" t="s">
        <v>965</v>
      </c>
      <c r="C184" s="2">
        <v>1550</v>
      </c>
      <c r="E184" s="2" t="s">
        <v>191</v>
      </c>
    </row>
    <row r="185" spans="1:5" x14ac:dyDescent="0.3">
      <c r="A185" s="11" t="s">
        <v>966</v>
      </c>
      <c r="C185" s="2">
        <v>4200</v>
      </c>
      <c r="E185" s="2" t="s">
        <v>191</v>
      </c>
    </row>
    <row r="186" spans="1:5" x14ac:dyDescent="0.3">
      <c r="A186" s="11" t="s">
        <v>967</v>
      </c>
      <c r="C186" s="2">
        <v>1800</v>
      </c>
      <c r="E186" s="2" t="s">
        <v>191</v>
      </c>
    </row>
    <row r="187" spans="1:5" x14ac:dyDescent="0.3">
      <c r="A187" s="11" t="s">
        <v>968</v>
      </c>
      <c r="C187" s="2">
        <v>3600</v>
      </c>
      <c r="E187" s="2" t="s">
        <v>191</v>
      </c>
    </row>
    <row r="188" spans="1:5" x14ac:dyDescent="0.3">
      <c r="A188" s="11" t="s">
        <v>969</v>
      </c>
      <c r="C188" s="2">
        <v>1840</v>
      </c>
      <c r="E188" s="2" t="s">
        <v>191</v>
      </c>
    </row>
    <row r="190" spans="1:5" x14ac:dyDescent="0.3">
      <c r="A190" s="3" t="s">
        <v>592</v>
      </c>
      <c r="B190" s="3"/>
      <c r="C190" s="3"/>
      <c r="D190" s="3"/>
      <c r="E190" s="3"/>
    </row>
    <row r="191" spans="1:5" x14ac:dyDescent="0.3">
      <c r="A191" s="11" t="s">
        <v>751</v>
      </c>
      <c r="C191" s="2">
        <v>3300</v>
      </c>
      <c r="E191" s="2" t="s">
        <v>191</v>
      </c>
    </row>
    <row r="192" spans="1:5" x14ac:dyDescent="0.3">
      <c r="A192" s="11" t="s">
        <v>752</v>
      </c>
      <c r="C192" s="2">
        <v>1980</v>
      </c>
      <c r="E192" s="2" t="s">
        <v>191</v>
      </c>
    </row>
    <row r="193" spans="1:5" x14ac:dyDescent="0.3">
      <c r="A193" s="11" t="s">
        <v>753</v>
      </c>
      <c r="C193" s="2">
        <v>23100</v>
      </c>
      <c r="E193" s="2" t="s">
        <v>191</v>
      </c>
    </row>
    <row r="194" spans="1:5" x14ac:dyDescent="0.3">
      <c r="A194" s="11" t="s">
        <v>754</v>
      </c>
      <c r="C194" s="2">
        <v>2750</v>
      </c>
      <c r="E194" s="2" t="s">
        <v>191</v>
      </c>
    </row>
    <row r="195" spans="1:5" x14ac:dyDescent="0.3">
      <c r="A195" s="11" t="s">
        <v>755</v>
      </c>
      <c r="C195" s="2">
        <v>2484</v>
      </c>
      <c r="E195" s="2" t="s">
        <v>191</v>
      </c>
    </row>
    <row r="196" spans="1:5" x14ac:dyDescent="0.3">
      <c r="A196" s="11" t="s">
        <v>756</v>
      </c>
      <c r="C196" s="2">
        <v>4560</v>
      </c>
      <c r="E196" s="2" t="s">
        <v>191</v>
      </c>
    </row>
    <row r="197" spans="1:5" x14ac:dyDescent="0.3">
      <c r="A197" s="11" t="s">
        <v>793</v>
      </c>
      <c r="C197" s="2">
        <v>4720</v>
      </c>
      <c r="E197" s="2" t="s">
        <v>191</v>
      </c>
    </row>
    <row r="198" spans="1:5" x14ac:dyDescent="0.3">
      <c r="A198" s="11" t="s">
        <v>817</v>
      </c>
      <c r="C198" s="2">
        <v>8800</v>
      </c>
      <c r="E198" s="2" t="s">
        <v>191</v>
      </c>
    </row>
    <row r="201" spans="1:5" x14ac:dyDescent="0.3">
      <c r="B201" s="2">
        <f>SUM(B2:B200)</f>
        <v>89805</v>
      </c>
      <c r="C201" s="2">
        <f>SUM(C2:C200)*0.21</f>
        <v>141078.21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655A-2578-4CE5-B130-759789FA3B37}">
  <dimension ref="A1:I147"/>
  <sheetViews>
    <sheetView tabSelected="1" zoomScaleNormal="100" workbookViewId="0">
      <selection activeCell="D145" sqref="D145"/>
    </sheetView>
  </sheetViews>
  <sheetFormatPr defaultRowHeight="16.2" x14ac:dyDescent="0.3"/>
  <cols>
    <col min="1" max="1" width="72.21875" style="2" customWidth="1"/>
    <col min="2" max="3" width="18.109375" style="2" customWidth="1"/>
    <col min="4" max="4" width="51.6640625" style="2" bestFit="1" customWidth="1"/>
    <col min="9" max="9" width="11.109375" bestFit="1" customWidth="1"/>
  </cols>
  <sheetData>
    <row r="1" spans="1:9" x14ac:dyDescent="0.3">
      <c r="A1" s="2" t="s">
        <v>2</v>
      </c>
      <c r="B1" s="2" t="s">
        <v>0</v>
      </c>
      <c r="C1" s="2" t="s">
        <v>1</v>
      </c>
      <c r="D1" s="2" t="s">
        <v>71</v>
      </c>
      <c r="E1" s="2" t="s">
        <v>210</v>
      </c>
      <c r="H1" s="2" t="s">
        <v>0</v>
      </c>
      <c r="I1" s="2" t="s">
        <v>66</v>
      </c>
    </row>
    <row r="2" spans="1:9" x14ac:dyDescent="0.3">
      <c r="A2" s="11" t="s">
        <v>819</v>
      </c>
      <c r="B2" s="2">
        <v>14143</v>
      </c>
      <c r="E2" s="2"/>
      <c r="G2" s="2" t="s">
        <v>67</v>
      </c>
      <c r="H2">
        <f>SUM(B147+C147)</f>
        <v>113660.67937499999</v>
      </c>
    </row>
    <row r="3" spans="1:9" x14ac:dyDescent="0.3">
      <c r="A3" s="11" t="s">
        <v>831</v>
      </c>
      <c r="B3" s="2">
        <v>309</v>
      </c>
      <c r="E3" s="2"/>
      <c r="G3" s="2" t="s">
        <v>215</v>
      </c>
    </row>
    <row r="4" spans="1:9" x14ac:dyDescent="0.3">
      <c r="A4" s="11" t="s">
        <v>832</v>
      </c>
      <c r="B4" s="2">
        <v>1350</v>
      </c>
      <c r="E4" s="2"/>
      <c r="G4" s="2" t="s">
        <v>209</v>
      </c>
    </row>
    <row r="5" spans="1:9" ht="65.400000000000006" customHeight="1" x14ac:dyDescent="0.3">
      <c r="A5" s="11" t="s">
        <v>907</v>
      </c>
      <c r="C5" s="2">
        <v>61023.4375</v>
      </c>
      <c r="D5" s="8" t="s">
        <v>908</v>
      </c>
      <c r="E5" s="2"/>
      <c r="G5" s="2" t="s">
        <v>417</v>
      </c>
    </row>
    <row r="6" spans="1:9" x14ac:dyDescent="0.3">
      <c r="A6" s="11"/>
      <c r="G6" s="2" t="s">
        <v>191</v>
      </c>
    </row>
    <row r="7" spans="1:9" x14ac:dyDescent="0.3">
      <c r="A7" s="11"/>
      <c r="G7" s="2" t="s">
        <v>194</v>
      </c>
    </row>
    <row r="8" spans="1:9" x14ac:dyDescent="0.3">
      <c r="A8" s="11"/>
      <c r="E8" s="2"/>
    </row>
    <row r="9" spans="1:9" x14ac:dyDescent="0.3">
      <c r="A9" s="3" t="s">
        <v>820</v>
      </c>
      <c r="B9" s="3"/>
      <c r="C9" s="3"/>
      <c r="D9" s="3"/>
      <c r="E9" s="3"/>
    </row>
    <row r="10" spans="1:9" x14ac:dyDescent="0.3">
      <c r="A10" s="11" t="s">
        <v>830</v>
      </c>
      <c r="B10" s="2">
        <v>2501</v>
      </c>
      <c r="E10" s="2" t="s">
        <v>215</v>
      </c>
    </row>
    <row r="11" spans="1:9" x14ac:dyDescent="0.3">
      <c r="A11" s="11" t="s">
        <v>845</v>
      </c>
      <c r="C11" s="2">
        <v>970</v>
      </c>
      <c r="E11" s="2" t="s">
        <v>209</v>
      </c>
    </row>
    <row r="12" spans="1:9" x14ac:dyDescent="0.3">
      <c r="A12" s="11" t="s">
        <v>846</v>
      </c>
      <c r="C12" s="2">
        <v>800</v>
      </c>
      <c r="E12" s="2" t="s">
        <v>209</v>
      </c>
    </row>
    <row r="13" spans="1:9" x14ac:dyDescent="0.3">
      <c r="A13" s="11" t="s">
        <v>847</v>
      </c>
      <c r="C13" s="2">
        <v>165</v>
      </c>
      <c r="E13" s="2" t="s">
        <v>209</v>
      </c>
    </row>
    <row r="14" spans="1:9" x14ac:dyDescent="0.3">
      <c r="A14" s="11" t="s">
        <v>848</v>
      </c>
      <c r="C14" s="2">
        <v>2937</v>
      </c>
      <c r="E14" s="2" t="s">
        <v>417</v>
      </c>
    </row>
    <row r="15" spans="1:9" x14ac:dyDescent="0.3">
      <c r="A15" s="11" t="s">
        <v>849</v>
      </c>
      <c r="C15" s="2">
        <v>1000</v>
      </c>
      <c r="E15" s="2" t="s">
        <v>417</v>
      </c>
    </row>
    <row r="16" spans="1:9" x14ac:dyDescent="0.3">
      <c r="A16" s="11" t="s">
        <v>850</v>
      </c>
      <c r="C16" s="2">
        <v>907</v>
      </c>
      <c r="E16" s="2" t="s">
        <v>191</v>
      </c>
    </row>
    <row r="17" spans="1:5" x14ac:dyDescent="0.3">
      <c r="A17" s="11" t="s">
        <v>851</v>
      </c>
      <c r="C17" s="2">
        <v>479</v>
      </c>
      <c r="E17" s="2" t="s">
        <v>191</v>
      </c>
    </row>
    <row r="18" spans="1:5" x14ac:dyDescent="0.3">
      <c r="A18" s="11" t="s">
        <v>852</v>
      </c>
      <c r="C18" s="2">
        <v>820</v>
      </c>
      <c r="E18" s="2" t="s">
        <v>209</v>
      </c>
    </row>
    <row r="19" spans="1:5" x14ac:dyDescent="0.3">
      <c r="A19" s="11" t="s">
        <v>853</v>
      </c>
      <c r="C19" s="2">
        <v>400</v>
      </c>
      <c r="E19" s="2" t="s">
        <v>215</v>
      </c>
    </row>
    <row r="20" spans="1:5" x14ac:dyDescent="0.3">
      <c r="A20" s="11" t="s">
        <v>854</v>
      </c>
      <c r="C20" s="2">
        <v>35020</v>
      </c>
      <c r="E20" s="2" t="s">
        <v>191</v>
      </c>
    </row>
    <row r="21" spans="1:5" x14ac:dyDescent="0.3">
      <c r="A21" s="11" t="s">
        <v>931</v>
      </c>
      <c r="C21" s="2">
        <v>3990</v>
      </c>
      <c r="E21" s="2" t="s">
        <v>191</v>
      </c>
    </row>
    <row r="22" spans="1:5" x14ac:dyDescent="0.3">
      <c r="A22" s="11" t="s">
        <v>932</v>
      </c>
      <c r="C22" s="2">
        <v>2990</v>
      </c>
      <c r="E22" s="2" t="s">
        <v>191</v>
      </c>
    </row>
    <row r="23" spans="1:5" x14ac:dyDescent="0.3">
      <c r="A23" s="11" t="s">
        <v>932</v>
      </c>
      <c r="C23" s="2">
        <v>2990</v>
      </c>
      <c r="E23" s="2" t="s">
        <v>191</v>
      </c>
    </row>
    <row r="24" spans="1:5" x14ac:dyDescent="0.3">
      <c r="A24" s="11" t="s">
        <v>933</v>
      </c>
      <c r="C24" s="2">
        <v>1290</v>
      </c>
      <c r="E24" s="2" t="s">
        <v>191</v>
      </c>
    </row>
    <row r="25" spans="1:5" x14ac:dyDescent="0.3">
      <c r="A25" s="11" t="s">
        <v>934</v>
      </c>
      <c r="C25" s="2">
        <v>1290</v>
      </c>
      <c r="E25" s="2" t="s">
        <v>191</v>
      </c>
    </row>
    <row r="26" spans="1:5" x14ac:dyDescent="0.3">
      <c r="A26" s="11" t="s">
        <v>935</v>
      </c>
      <c r="C26" s="2">
        <v>1290</v>
      </c>
      <c r="E26" s="2" t="s">
        <v>191</v>
      </c>
    </row>
    <row r="27" spans="1:5" x14ac:dyDescent="0.3">
      <c r="A27" s="11" t="s">
        <v>935</v>
      </c>
      <c r="C27" s="2">
        <v>1290</v>
      </c>
      <c r="E27" s="2" t="s">
        <v>191</v>
      </c>
    </row>
    <row r="28" spans="1:5" x14ac:dyDescent="0.3">
      <c r="A28" s="11" t="s">
        <v>936</v>
      </c>
      <c r="C28" s="2">
        <v>5990</v>
      </c>
      <c r="E28" s="2" t="s">
        <v>191</v>
      </c>
    </row>
    <row r="29" spans="1:5" x14ac:dyDescent="0.3">
      <c r="A29" s="11" t="s">
        <v>936</v>
      </c>
      <c r="C29" s="2">
        <v>5990</v>
      </c>
      <c r="E29" s="2" t="s">
        <v>191</v>
      </c>
    </row>
    <row r="30" spans="1:5" x14ac:dyDescent="0.3">
      <c r="A30" s="11" t="s">
        <v>937</v>
      </c>
      <c r="C30" s="2">
        <v>1500</v>
      </c>
      <c r="E30" s="2" t="s">
        <v>191</v>
      </c>
    </row>
    <row r="31" spans="1:5" x14ac:dyDescent="0.3">
      <c r="A31" s="11" t="s">
        <v>937</v>
      </c>
      <c r="C31" s="2">
        <v>1500</v>
      </c>
      <c r="E31" s="2" t="s">
        <v>191</v>
      </c>
    </row>
    <row r="32" spans="1:5" x14ac:dyDescent="0.3">
      <c r="A32" s="11" t="s">
        <v>938</v>
      </c>
      <c r="C32" s="2">
        <v>3990</v>
      </c>
      <c r="E32" s="2" t="s">
        <v>191</v>
      </c>
    </row>
    <row r="33" spans="1:5" x14ac:dyDescent="0.3">
      <c r="A33" s="11" t="s">
        <v>855</v>
      </c>
      <c r="C33" s="2">
        <v>2290</v>
      </c>
      <c r="E33" s="2" t="s">
        <v>417</v>
      </c>
    </row>
    <row r="34" spans="1:5" x14ac:dyDescent="0.3">
      <c r="A34" s="11"/>
      <c r="E34" s="2"/>
    </row>
    <row r="35" spans="1:5" x14ac:dyDescent="0.3">
      <c r="A35" s="3" t="s">
        <v>821</v>
      </c>
      <c r="B35" s="3"/>
      <c r="C35" s="3"/>
      <c r="D35" s="3"/>
      <c r="E35" s="3"/>
    </row>
    <row r="36" spans="1:5" x14ac:dyDescent="0.3">
      <c r="A36" s="11" t="s">
        <v>913</v>
      </c>
      <c r="C36" s="2">
        <v>6095</v>
      </c>
      <c r="D36" s="2" t="s">
        <v>909</v>
      </c>
      <c r="E36" s="2" t="s">
        <v>215</v>
      </c>
    </row>
    <row r="37" spans="1:5" x14ac:dyDescent="0.3">
      <c r="A37" s="11" t="s">
        <v>856</v>
      </c>
      <c r="C37" s="2">
        <v>3500</v>
      </c>
      <c r="E37" s="2" t="s">
        <v>417</v>
      </c>
    </row>
    <row r="38" spans="1:5" x14ac:dyDescent="0.3">
      <c r="A38" s="11" t="s">
        <v>889</v>
      </c>
      <c r="C38" s="2">
        <v>450</v>
      </c>
      <c r="E38" s="2" t="s">
        <v>417</v>
      </c>
    </row>
    <row r="39" spans="1:5" x14ac:dyDescent="0.3">
      <c r="A39" s="11" t="s">
        <v>912</v>
      </c>
      <c r="C39" s="2">
        <v>0</v>
      </c>
      <c r="E39" s="2" t="s">
        <v>417</v>
      </c>
    </row>
    <row r="40" spans="1:5" x14ac:dyDescent="0.3">
      <c r="A40" s="11"/>
      <c r="E40" s="2"/>
    </row>
    <row r="41" spans="1:5" x14ac:dyDescent="0.3">
      <c r="A41" s="3" t="s">
        <v>822</v>
      </c>
      <c r="B41" s="3"/>
      <c r="C41" s="3"/>
      <c r="D41" s="3"/>
      <c r="E41" s="3"/>
    </row>
    <row r="42" spans="1:5" x14ac:dyDescent="0.3">
      <c r="A42" s="11" t="s">
        <v>857</v>
      </c>
      <c r="C42" s="2">
        <v>1080</v>
      </c>
      <c r="D42" s="2" t="s">
        <v>859</v>
      </c>
      <c r="E42" s="2" t="s">
        <v>417</v>
      </c>
    </row>
    <row r="43" spans="1:5" x14ac:dyDescent="0.3">
      <c r="A43" s="11" t="s">
        <v>858</v>
      </c>
      <c r="C43" s="2">
        <v>2100</v>
      </c>
      <c r="E43" s="2" t="s">
        <v>417</v>
      </c>
    </row>
    <row r="44" spans="1:5" x14ac:dyDescent="0.3">
      <c r="A44" s="11" t="s">
        <v>860</v>
      </c>
      <c r="C44" s="2">
        <v>600</v>
      </c>
      <c r="E44" s="2" t="s">
        <v>417</v>
      </c>
    </row>
    <row r="45" spans="1:5" x14ac:dyDescent="0.3">
      <c r="A45" s="11" t="s">
        <v>861</v>
      </c>
      <c r="C45" s="2">
        <v>450</v>
      </c>
      <c r="E45" s="2" t="s">
        <v>194</v>
      </c>
    </row>
    <row r="46" spans="1:5" x14ac:dyDescent="0.3">
      <c r="A46" s="11" t="s">
        <v>862</v>
      </c>
      <c r="C46" s="2">
        <v>22000</v>
      </c>
      <c r="E46" s="2" t="s">
        <v>417</v>
      </c>
    </row>
    <row r="47" spans="1:5" x14ac:dyDescent="0.3">
      <c r="A47" s="11"/>
      <c r="E47" s="2"/>
    </row>
    <row r="48" spans="1:5" x14ac:dyDescent="0.3">
      <c r="A48" s="3" t="s">
        <v>823</v>
      </c>
      <c r="B48" s="3"/>
      <c r="C48" s="3"/>
      <c r="D48" s="3"/>
      <c r="E48" s="3"/>
    </row>
    <row r="49" spans="1:5" x14ac:dyDescent="0.3">
      <c r="A49" s="11" t="s">
        <v>858</v>
      </c>
      <c r="C49" s="2">
        <v>3000</v>
      </c>
      <c r="E49" s="2" t="s">
        <v>417</v>
      </c>
    </row>
    <row r="50" spans="1:5" x14ac:dyDescent="0.3">
      <c r="A50" s="11" t="s">
        <v>930</v>
      </c>
      <c r="C50" s="2">
        <v>800</v>
      </c>
      <c r="E50" s="2" t="s">
        <v>191</v>
      </c>
    </row>
    <row r="51" spans="1:5" x14ac:dyDescent="0.3">
      <c r="A51" s="11" t="s">
        <v>929</v>
      </c>
      <c r="C51" s="2">
        <v>648</v>
      </c>
      <c r="E51" s="2" t="s">
        <v>191</v>
      </c>
    </row>
    <row r="52" spans="1:5" x14ac:dyDescent="0.3">
      <c r="A52" s="11" t="s">
        <v>928</v>
      </c>
      <c r="C52" s="2">
        <v>340</v>
      </c>
      <c r="E52" s="2" t="s">
        <v>191</v>
      </c>
    </row>
    <row r="53" spans="1:5" x14ac:dyDescent="0.3">
      <c r="A53" s="11" t="s">
        <v>863</v>
      </c>
      <c r="C53" s="2">
        <v>2500</v>
      </c>
      <c r="E53" s="2" t="s">
        <v>417</v>
      </c>
    </row>
    <row r="54" spans="1:5" x14ac:dyDescent="0.3">
      <c r="A54" s="11" t="s">
        <v>864</v>
      </c>
      <c r="C54" s="2">
        <v>658</v>
      </c>
      <c r="E54" s="2" t="s">
        <v>417</v>
      </c>
    </row>
    <row r="55" spans="1:5" x14ac:dyDescent="0.3">
      <c r="A55" s="11" t="s">
        <v>865</v>
      </c>
      <c r="C55" s="2">
        <v>7975</v>
      </c>
      <c r="D55" s="2" t="s">
        <v>866</v>
      </c>
      <c r="E55" s="2" t="s">
        <v>417</v>
      </c>
    </row>
    <row r="56" spans="1:5" x14ac:dyDescent="0.3">
      <c r="A56" s="11" t="s">
        <v>911</v>
      </c>
      <c r="C56" s="2">
        <v>10200</v>
      </c>
      <c r="D56" s="2" t="s">
        <v>910</v>
      </c>
      <c r="E56" s="2" t="s">
        <v>215</v>
      </c>
    </row>
    <row r="57" spans="1:5" x14ac:dyDescent="0.3">
      <c r="A57" s="11" t="s">
        <v>912</v>
      </c>
      <c r="C57" s="2">
        <v>0</v>
      </c>
      <c r="E57" s="2" t="s">
        <v>417</v>
      </c>
    </row>
    <row r="58" spans="1:5" x14ac:dyDescent="0.3">
      <c r="A58" s="11"/>
      <c r="E58" s="2"/>
    </row>
    <row r="59" spans="1:5" x14ac:dyDescent="0.3">
      <c r="A59" s="3" t="s">
        <v>824</v>
      </c>
      <c r="B59" s="3"/>
      <c r="C59" s="3"/>
      <c r="D59" s="3"/>
      <c r="E59" s="3"/>
    </row>
    <row r="60" spans="1:5" x14ac:dyDescent="0.3">
      <c r="A60" s="11" t="s">
        <v>867</v>
      </c>
      <c r="C60" s="2">
        <v>1630</v>
      </c>
      <c r="E60" s="2" t="s">
        <v>417</v>
      </c>
    </row>
    <row r="61" spans="1:5" x14ac:dyDescent="0.3">
      <c r="A61" s="11" t="s">
        <v>868</v>
      </c>
      <c r="C61" s="2">
        <v>320</v>
      </c>
      <c r="E61" s="2" t="s">
        <v>194</v>
      </c>
    </row>
    <row r="62" spans="1:5" x14ac:dyDescent="0.3">
      <c r="A62" s="11" t="s">
        <v>869</v>
      </c>
      <c r="C62" s="2">
        <v>1200</v>
      </c>
      <c r="E62" s="2" t="s">
        <v>194</v>
      </c>
    </row>
    <row r="63" spans="1:5" x14ac:dyDescent="0.3">
      <c r="A63" s="11" t="s">
        <v>870</v>
      </c>
      <c r="C63" s="2">
        <v>425</v>
      </c>
      <c r="D63" s="2" t="s">
        <v>871</v>
      </c>
      <c r="E63" s="2" t="s">
        <v>209</v>
      </c>
    </row>
    <row r="64" spans="1:5" x14ac:dyDescent="0.3">
      <c r="A64" s="11" t="s">
        <v>912</v>
      </c>
      <c r="C64" s="2">
        <v>0</v>
      </c>
      <c r="E64" s="2" t="s">
        <v>417</v>
      </c>
    </row>
    <row r="65" spans="1:5" x14ac:dyDescent="0.3">
      <c r="A65" s="11"/>
      <c r="E65" s="2"/>
    </row>
    <row r="66" spans="1:5" x14ac:dyDescent="0.3">
      <c r="A66" s="3" t="s">
        <v>825</v>
      </c>
      <c r="B66" s="3"/>
      <c r="C66" s="3"/>
      <c r="D66" s="3"/>
      <c r="E66" s="3"/>
    </row>
    <row r="67" spans="1:5" x14ac:dyDescent="0.3">
      <c r="A67" s="11" t="s">
        <v>872</v>
      </c>
      <c r="C67" s="2">
        <v>500</v>
      </c>
      <c r="D67" s="2" t="s">
        <v>873</v>
      </c>
      <c r="E67" s="2" t="s">
        <v>417</v>
      </c>
    </row>
    <row r="68" spans="1:5" x14ac:dyDescent="0.3">
      <c r="A68" s="11" t="s">
        <v>877</v>
      </c>
      <c r="C68" s="2">
        <v>550</v>
      </c>
      <c r="D68" s="2" t="s">
        <v>874</v>
      </c>
      <c r="E68" s="2" t="s">
        <v>417</v>
      </c>
    </row>
    <row r="69" spans="1:5" x14ac:dyDescent="0.3">
      <c r="A69" s="11" t="s">
        <v>878</v>
      </c>
      <c r="C69" s="2">
        <v>800</v>
      </c>
      <c r="D69" s="2" t="s">
        <v>875</v>
      </c>
      <c r="E69" s="2" t="s">
        <v>417</v>
      </c>
    </row>
    <row r="70" spans="1:5" x14ac:dyDescent="0.3">
      <c r="A70" s="11" t="s">
        <v>876</v>
      </c>
      <c r="C70" s="2">
        <v>1300</v>
      </c>
      <c r="E70" s="2" t="s">
        <v>191</v>
      </c>
    </row>
    <row r="71" spans="1:5" x14ac:dyDescent="0.3">
      <c r="A71" s="11" t="s">
        <v>923</v>
      </c>
      <c r="C71" s="2">
        <v>1359</v>
      </c>
      <c r="D71" s="2" t="s">
        <v>924</v>
      </c>
      <c r="E71" s="2" t="s">
        <v>191</v>
      </c>
    </row>
    <row r="72" spans="1:5" x14ac:dyDescent="0.3">
      <c r="A72" s="11" t="s">
        <v>925</v>
      </c>
      <c r="C72" s="2">
        <v>2340</v>
      </c>
      <c r="D72" s="2" t="s">
        <v>234</v>
      </c>
      <c r="E72" s="2" t="s">
        <v>191</v>
      </c>
    </row>
    <row r="73" spans="1:5" x14ac:dyDescent="0.3">
      <c r="A73" t="s">
        <v>926</v>
      </c>
      <c r="C73" s="2">
        <v>540</v>
      </c>
      <c r="E73" s="2" t="s">
        <v>191</v>
      </c>
    </row>
    <row r="74" spans="1:5" x14ac:dyDescent="0.3">
      <c r="A74" t="s">
        <v>927</v>
      </c>
      <c r="C74" s="2">
        <v>800</v>
      </c>
      <c r="E74" s="2" t="s">
        <v>191</v>
      </c>
    </row>
    <row r="75" spans="1:5" x14ac:dyDescent="0.3">
      <c r="A75" s="11" t="s">
        <v>879</v>
      </c>
      <c r="C75" s="2">
        <v>2300</v>
      </c>
      <c r="E75" s="2" t="s">
        <v>417</v>
      </c>
    </row>
    <row r="76" spans="1:5" x14ac:dyDescent="0.3">
      <c r="A76" s="11" t="s">
        <v>880</v>
      </c>
      <c r="C76" s="2">
        <v>170</v>
      </c>
      <c r="D76" s="2" t="s">
        <v>882</v>
      </c>
      <c r="E76" s="2" t="s">
        <v>417</v>
      </c>
    </row>
    <row r="77" spans="1:5" x14ac:dyDescent="0.3">
      <c r="A77" s="11" t="s">
        <v>881</v>
      </c>
      <c r="C77" s="2">
        <v>250</v>
      </c>
      <c r="D77" s="2" t="s">
        <v>883</v>
      </c>
      <c r="E77" s="2" t="s">
        <v>417</v>
      </c>
    </row>
    <row r="78" spans="1:5" x14ac:dyDescent="0.3">
      <c r="A78" s="11" t="s">
        <v>884</v>
      </c>
      <c r="C78" s="2">
        <v>1500</v>
      </c>
      <c r="E78" s="2" t="s">
        <v>191</v>
      </c>
    </row>
    <row r="79" spans="1:5" x14ac:dyDescent="0.3">
      <c r="A79" s="11" t="s">
        <v>885</v>
      </c>
      <c r="C79" s="2">
        <v>14080</v>
      </c>
      <c r="D79" s="2" t="s">
        <v>886</v>
      </c>
      <c r="E79" s="2" t="s">
        <v>417</v>
      </c>
    </row>
    <row r="80" spans="1:5" x14ac:dyDescent="0.3">
      <c r="A80" s="11" t="s">
        <v>915</v>
      </c>
      <c r="C80" s="2">
        <v>9185.5</v>
      </c>
      <c r="D80" s="2" t="s">
        <v>914</v>
      </c>
      <c r="E80" s="2" t="s">
        <v>215</v>
      </c>
    </row>
    <row r="81" spans="1:5" x14ac:dyDescent="0.3">
      <c r="A81"/>
      <c r="E81" s="2"/>
    </row>
    <row r="82" spans="1:5" x14ac:dyDescent="0.3">
      <c r="A82" s="3" t="s">
        <v>826</v>
      </c>
      <c r="B82" s="3"/>
      <c r="C82" s="3"/>
      <c r="D82" s="3"/>
      <c r="E82" s="3"/>
    </row>
    <row r="83" spans="1:5" x14ac:dyDescent="0.3">
      <c r="A83" s="11" t="s">
        <v>887</v>
      </c>
      <c r="C83" s="2">
        <v>520</v>
      </c>
      <c r="E83" s="2" t="s">
        <v>194</v>
      </c>
    </row>
    <row r="84" spans="1:5" x14ac:dyDescent="0.3">
      <c r="A84" s="11" t="s">
        <v>939</v>
      </c>
      <c r="C84" s="2">
        <v>250</v>
      </c>
      <c r="D84" s="2" t="s">
        <v>883</v>
      </c>
      <c r="E84" s="2" t="s">
        <v>194</v>
      </c>
    </row>
    <row r="85" spans="1:5" x14ac:dyDescent="0.3">
      <c r="A85" s="11" t="s">
        <v>904</v>
      </c>
      <c r="C85" s="2">
        <v>37000</v>
      </c>
      <c r="E85" s="2" t="s">
        <v>417</v>
      </c>
    </row>
    <row r="86" spans="1:5" x14ac:dyDescent="0.3">
      <c r="A86" s="11" t="s">
        <v>888</v>
      </c>
      <c r="C86" s="2">
        <v>200</v>
      </c>
      <c r="E86" s="2" t="s">
        <v>194</v>
      </c>
    </row>
    <row r="87" spans="1:5" x14ac:dyDescent="0.3">
      <c r="A87" s="11" t="s">
        <v>916</v>
      </c>
      <c r="C87" s="2">
        <v>1500</v>
      </c>
      <c r="E87" s="2" t="s">
        <v>417</v>
      </c>
    </row>
    <row r="88" spans="1:5" x14ac:dyDescent="0.3">
      <c r="A88" s="11"/>
      <c r="E88" s="2"/>
    </row>
    <row r="89" spans="1:5" x14ac:dyDescent="0.3">
      <c r="A89" s="3" t="s">
        <v>827</v>
      </c>
      <c r="B89" s="3"/>
      <c r="C89" s="3"/>
      <c r="D89" s="3"/>
      <c r="E89" s="3"/>
    </row>
    <row r="90" spans="1:5" x14ac:dyDescent="0.3">
      <c r="A90" s="11" t="s">
        <v>890</v>
      </c>
      <c r="C90" s="2">
        <v>1375</v>
      </c>
      <c r="D90" s="2" t="s">
        <v>891</v>
      </c>
      <c r="E90" s="2" t="s">
        <v>417</v>
      </c>
    </row>
    <row r="91" spans="1:5" x14ac:dyDescent="0.3">
      <c r="A91" s="11" t="s">
        <v>892</v>
      </c>
      <c r="C91" s="2">
        <v>350</v>
      </c>
      <c r="D91" s="2" t="s">
        <v>905</v>
      </c>
      <c r="E91" s="2" t="s">
        <v>417</v>
      </c>
    </row>
    <row r="92" spans="1:5" x14ac:dyDescent="0.3">
      <c r="A92" s="11" t="s">
        <v>919</v>
      </c>
      <c r="C92" s="2">
        <v>1404</v>
      </c>
      <c r="E92" s="2" t="s">
        <v>417</v>
      </c>
    </row>
    <row r="93" spans="1:5" x14ac:dyDescent="0.3">
      <c r="A93" s="11" t="s">
        <v>893</v>
      </c>
      <c r="C93" s="2">
        <v>130</v>
      </c>
      <c r="E93" s="2" t="s">
        <v>417</v>
      </c>
    </row>
    <row r="94" spans="1:5" x14ac:dyDescent="0.3">
      <c r="A94" s="11" t="s">
        <v>894</v>
      </c>
      <c r="C94" s="2">
        <v>28100</v>
      </c>
      <c r="E94" s="2" t="s">
        <v>417</v>
      </c>
    </row>
    <row r="95" spans="1:5" x14ac:dyDescent="0.3">
      <c r="A95" s="11" t="s">
        <v>918</v>
      </c>
      <c r="C95" s="2">
        <v>6335.25</v>
      </c>
      <c r="D95" s="2" t="s">
        <v>917</v>
      </c>
      <c r="E95" s="2" t="s">
        <v>215</v>
      </c>
    </row>
    <row r="96" spans="1:5" x14ac:dyDescent="0.3">
      <c r="A96" s="11"/>
      <c r="E96" s="2"/>
    </row>
    <row r="97" spans="1:5" x14ac:dyDescent="0.3">
      <c r="A97" s="3" t="s">
        <v>828</v>
      </c>
      <c r="B97" s="3"/>
      <c r="C97" s="3"/>
      <c r="D97" s="3"/>
      <c r="E97" s="3"/>
    </row>
    <row r="98" spans="1:5" x14ac:dyDescent="0.3">
      <c r="A98" s="11" t="s">
        <v>895</v>
      </c>
      <c r="C98" s="2">
        <v>16283</v>
      </c>
      <c r="E98" s="2" t="s">
        <v>417</v>
      </c>
    </row>
    <row r="99" spans="1:5" x14ac:dyDescent="0.3">
      <c r="A99" t="s">
        <v>896</v>
      </c>
      <c r="C99" s="2">
        <v>3465</v>
      </c>
      <c r="E99" s="2" t="s">
        <v>191</v>
      </c>
    </row>
    <row r="100" spans="1:5" x14ac:dyDescent="0.3">
      <c r="A100" t="s">
        <v>897</v>
      </c>
      <c r="C100" s="2">
        <v>2904</v>
      </c>
      <c r="E100" s="2" t="s">
        <v>191</v>
      </c>
    </row>
    <row r="101" spans="1:5" x14ac:dyDescent="0.3">
      <c r="A101" s="11" t="s">
        <v>898</v>
      </c>
      <c r="C101" s="2">
        <v>938</v>
      </c>
      <c r="D101" s="2" t="s">
        <v>922</v>
      </c>
      <c r="E101" s="2" t="s">
        <v>191</v>
      </c>
    </row>
    <row r="102" spans="1:5" x14ac:dyDescent="0.3">
      <c r="A102" s="11" t="s">
        <v>899</v>
      </c>
      <c r="C102" s="2">
        <v>3800</v>
      </c>
      <c r="E102" s="2" t="s">
        <v>191</v>
      </c>
    </row>
    <row r="103" spans="1:5" x14ac:dyDescent="0.3">
      <c r="A103" t="s">
        <v>900</v>
      </c>
      <c r="C103" s="2">
        <v>550</v>
      </c>
      <c r="E103" s="2" t="s">
        <v>191</v>
      </c>
    </row>
    <row r="104" spans="1:5" x14ac:dyDescent="0.3">
      <c r="A104" t="s">
        <v>901</v>
      </c>
      <c r="C104" s="2">
        <v>20475</v>
      </c>
      <c r="E104" s="2" t="s">
        <v>417</v>
      </c>
    </row>
    <row r="105" spans="1:5" x14ac:dyDescent="0.3">
      <c r="A105" t="s">
        <v>940</v>
      </c>
      <c r="C105" s="2">
        <v>259</v>
      </c>
      <c r="E105" s="2" t="s">
        <v>191</v>
      </c>
    </row>
    <row r="106" spans="1:5" x14ac:dyDescent="0.3">
      <c r="A106" t="s">
        <v>941</v>
      </c>
      <c r="C106" s="2">
        <v>399</v>
      </c>
      <c r="E106" s="2" t="s">
        <v>191</v>
      </c>
    </row>
    <row r="107" spans="1:5" x14ac:dyDescent="0.3">
      <c r="A107" t="s">
        <v>942</v>
      </c>
      <c r="C107" s="2">
        <v>198</v>
      </c>
      <c r="E107" s="2" t="s">
        <v>417</v>
      </c>
    </row>
    <row r="108" spans="1:5" x14ac:dyDescent="0.3">
      <c r="A108" t="s">
        <v>943</v>
      </c>
      <c r="C108" s="2">
        <v>476</v>
      </c>
      <c r="E108" s="2" t="s">
        <v>191</v>
      </c>
    </row>
    <row r="109" spans="1:5" x14ac:dyDescent="0.3">
      <c r="A109" t="s">
        <v>944</v>
      </c>
      <c r="C109" s="2">
        <v>170</v>
      </c>
      <c r="E109" s="2" t="s">
        <v>191</v>
      </c>
    </row>
    <row r="110" spans="1:5" x14ac:dyDescent="0.3">
      <c r="A110" t="s">
        <v>945</v>
      </c>
      <c r="C110" s="2">
        <v>198</v>
      </c>
      <c r="E110" s="2" t="s">
        <v>191</v>
      </c>
    </row>
    <row r="111" spans="1:5" x14ac:dyDescent="0.3">
      <c r="A111" t="s">
        <v>946</v>
      </c>
      <c r="C111" s="2">
        <v>398</v>
      </c>
      <c r="E111" s="2" t="s">
        <v>191</v>
      </c>
    </row>
    <row r="112" spans="1:5" x14ac:dyDescent="0.3">
      <c r="A112" t="s">
        <v>947</v>
      </c>
      <c r="C112" s="2">
        <v>198</v>
      </c>
      <c r="E112" s="2" t="s">
        <v>191</v>
      </c>
    </row>
    <row r="113" spans="1:5" x14ac:dyDescent="0.3">
      <c r="A113" t="s">
        <v>948</v>
      </c>
      <c r="C113" s="2">
        <v>348</v>
      </c>
      <c r="E113" s="2" t="s">
        <v>191</v>
      </c>
    </row>
    <row r="114" spans="1:5" x14ac:dyDescent="0.3">
      <c r="A114" t="s">
        <v>949</v>
      </c>
      <c r="C114" s="2">
        <v>534</v>
      </c>
      <c r="E114" s="2" t="s">
        <v>191</v>
      </c>
    </row>
    <row r="115" spans="1:5" x14ac:dyDescent="0.3">
      <c r="A115" t="s">
        <v>950</v>
      </c>
      <c r="C115" s="2">
        <v>534</v>
      </c>
      <c r="E115" s="2" t="s">
        <v>191</v>
      </c>
    </row>
    <row r="116" spans="1:5" x14ac:dyDescent="0.3">
      <c r="A116" t="s">
        <v>951</v>
      </c>
      <c r="C116" s="2">
        <v>534</v>
      </c>
      <c r="E116" s="2" t="s">
        <v>191</v>
      </c>
    </row>
    <row r="117" spans="1:5" x14ac:dyDescent="0.3">
      <c r="A117" t="s">
        <v>952</v>
      </c>
      <c r="C117" s="2">
        <v>276</v>
      </c>
      <c r="E117" s="2" t="s">
        <v>191</v>
      </c>
    </row>
    <row r="118" spans="1:5" x14ac:dyDescent="0.3">
      <c r="A118" t="s">
        <v>953</v>
      </c>
      <c r="C118" s="2">
        <v>130</v>
      </c>
      <c r="E118" s="2" t="s">
        <v>191</v>
      </c>
    </row>
    <row r="119" spans="1:5" x14ac:dyDescent="0.3">
      <c r="A119" t="s">
        <v>954</v>
      </c>
      <c r="C119" s="2">
        <v>200</v>
      </c>
      <c r="E119" s="2" t="s">
        <v>191</v>
      </c>
    </row>
    <row r="120" spans="1:5" x14ac:dyDescent="0.3">
      <c r="A120" t="s">
        <v>955</v>
      </c>
      <c r="C120" s="2">
        <v>774</v>
      </c>
      <c r="E120" s="2" t="s">
        <v>191</v>
      </c>
    </row>
    <row r="121" spans="1:5" x14ac:dyDescent="0.3">
      <c r="A121" t="s">
        <v>956</v>
      </c>
      <c r="C121" s="2">
        <v>60</v>
      </c>
      <c r="E121" s="2" t="s">
        <v>191</v>
      </c>
    </row>
    <row r="122" spans="1:5" x14ac:dyDescent="0.3">
      <c r="A122" t="s">
        <v>957</v>
      </c>
      <c r="C122" s="10">
        <v>1999</v>
      </c>
      <c r="D122" s="2" t="s">
        <v>960</v>
      </c>
      <c r="E122" s="2" t="s">
        <v>191</v>
      </c>
    </row>
    <row r="123" spans="1:5" x14ac:dyDescent="0.3">
      <c r="A123" t="s">
        <v>958</v>
      </c>
      <c r="C123" s="10">
        <v>1780</v>
      </c>
      <c r="D123" s="2" t="s">
        <v>961</v>
      </c>
      <c r="E123" s="2" t="s">
        <v>191</v>
      </c>
    </row>
    <row r="124" spans="1:5" x14ac:dyDescent="0.3">
      <c r="A124" t="s">
        <v>959</v>
      </c>
      <c r="C124" s="10">
        <v>11120</v>
      </c>
      <c r="D124" s="2" t="s">
        <v>962</v>
      </c>
      <c r="E124" s="2" t="s">
        <v>191</v>
      </c>
    </row>
    <row r="125" spans="1:5" x14ac:dyDescent="0.3">
      <c r="A125" s="11"/>
      <c r="E125" s="2"/>
    </row>
    <row r="126" spans="1:5" x14ac:dyDescent="0.3">
      <c r="A126" s="3" t="s">
        <v>829</v>
      </c>
      <c r="B126" s="3"/>
      <c r="C126" s="3"/>
      <c r="D126" s="3"/>
      <c r="E126" s="3"/>
    </row>
    <row r="127" spans="1:5" x14ac:dyDescent="0.3">
      <c r="A127" t="s">
        <v>902</v>
      </c>
      <c r="B127" s="11"/>
      <c r="C127" s="2">
        <v>638</v>
      </c>
      <c r="D127" s="11" t="s">
        <v>906</v>
      </c>
      <c r="E127" s="2" t="s">
        <v>194</v>
      </c>
    </row>
    <row r="128" spans="1:5" x14ac:dyDescent="0.3">
      <c r="A128" t="s">
        <v>903</v>
      </c>
      <c r="B128" s="11"/>
      <c r="C128" s="2">
        <v>1050</v>
      </c>
      <c r="D128" s="11"/>
      <c r="E128" s="2" t="s">
        <v>417</v>
      </c>
    </row>
    <row r="129" spans="1:5" x14ac:dyDescent="0.3">
      <c r="A129" t="s">
        <v>920</v>
      </c>
      <c r="B129" s="11"/>
      <c r="C129" s="2">
        <v>4111</v>
      </c>
      <c r="D129" s="11"/>
      <c r="E129" s="2" t="s">
        <v>191</v>
      </c>
    </row>
    <row r="130" spans="1:5" x14ac:dyDescent="0.3">
      <c r="A130" t="s">
        <v>921</v>
      </c>
      <c r="B130" s="11"/>
      <c r="C130" s="2">
        <v>1834</v>
      </c>
      <c r="D130" s="11"/>
      <c r="E130" s="2" t="s">
        <v>191</v>
      </c>
    </row>
    <row r="131" spans="1:5" x14ac:dyDescent="0.3">
      <c r="A131" s="11"/>
      <c r="E131" s="2"/>
    </row>
    <row r="132" spans="1:5" x14ac:dyDescent="0.3">
      <c r="A132" s="3" t="s">
        <v>592</v>
      </c>
      <c r="B132" s="3"/>
      <c r="C132" s="3"/>
      <c r="D132" s="3"/>
      <c r="E132" s="3"/>
    </row>
    <row r="133" spans="1:5" x14ac:dyDescent="0.3">
      <c r="A133" t="s">
        <v>833</v>
      </c>
      <c r="C133" s="2">
        <v>5610</v>
      </c>
      <c r="E133" s="2" t="s">
        <v>417</v>
      </c>
    </row>
    <row r="134" spans="1:5" x14ac:dyDescent="0.3">
      <c r="A134" s="11"/>
      <c r="E134" s="2"/>
    </row>
    <row r="135" spans="1:5" x14ac:dyDescent="0.3">
      <c r="A135" s="3" t="s">
        <v>834</v>
      </c>
      <c r="B135" s="3"/>
      <c r="C135" s="3"/>
      <c r="D135" s="3"/>
      <c r="E135" s="3"/>
    </row>
    <row r="136" spans="1:5" x14ac:dyDescent="0.3">
      <c r="A136" t="s">
        <v>835</v>
      </c>
      <c r="C136" s="2">
        <v>1980</v>
      </c>
      <c r="E136" s="2" t="s">
        <v>417</v>
      </c>
    </row>
    <row r="137" spans="1:5" x14ac:dyDescent="0.3">
      <c r="A137" t="s">
        <v>843</v>
      </c>
      <c r="C137" s="2">
        <v>13200</v>
      </c>
      <c r="E137" s="2" t="s">
        <v>191</v>
      </c>
    </row>
    <row r="138" spans="1:5" x14ac:dyDescent="0.3">
      <c r="A138" t="s">
        <v>836</v>
      </c>
      <c r="C138" s="2">
        <v>6600</v>
      </c>
      <c r="E138" s="2" t="s">
        <v>191</v>
      </c>
    </row>
    <row r="139" spans="1:5" x14ac:dyDescent="0.3">
      <c r="A139" t="s">
        <v>837</v>
      </c>
      <c r="C139" s="2">
        <v>3520</v>
      </c>
      <c r="E139" s="2" t="s">
        <v>191</v>
      </c>
    </row>
    <row r="140" spans="1:5" x14ac:dyDescent="0.3">
      <c r="A140" t="s">
        <v>838</v>
      </c>
      <c r="C140" s="2">
        <v>3300</v>
      </c>
      <c r="E140" s="2" t="s">
        <v>191</v>
      </c>
    </row>
    <row r="141" spans="1:5" x14ac:dyDescent="0.3">
      <c r="A141" t="s">
        <v>839</v>
      </c>
      <c r="C141" s="2">
        <v>3850</v>
      </c>
      <c r="E141" s="2" t="s">
        <v>191</v>
      </c>
    </row>
    <row r="142" spans="1:5" x14ac:dyDescent="0.3">
      <c r="A142" t="s">
        <v>840</v>
      </c>
      <c r="C142" s="2">
        <v>7700</v>
      </c>
      <c r="E142" s="2" t="s">
        <v>191</v>
      </c>
    </row>
    <row r="143" spans="1:5" x14ac:dyDescent="0.3">
      <c r="A143" t="s">
        <v>841</v>
      </c>
      <c r="C143" s="2">
        <v>8800</v>
      </c>
      <c r="E143" s="2" t="s">
        <v>191</v>
      </c>
    </row>
    <row r="144" spans="1:5" x14ac:dyDescent="0.3">
      <c r="A144" t="s">
        <v>842</v>
      </c>
      <c r="C144" s="2">
        <v>2970</v>
      </c>
      <c r="E144" s="2" t="s">
        <v>191</v>
      </c>
    </row>
    <row r="145" spans="1:5" x14ac:dyDescent="0.3">
      <c r="A145" t="s">
        <v>844</v>
      </c>
      <c r="C145" s="2">
        <v>200</v>
      </c>
      <c r="E145" s="2" t="s">
        <v>191</v>
      </c>
    </row>
    <row r="146" spans="1:5" x14ac:dyDescent="0.3">
      <c r="A146" s="11"/>
      <c r="E146" s="2"/>
    </row>
    <row r="147" spans="1:5" x14ac:dyDescent="0.3">
      <c r="B147" s="2">
        <f>SUM(B2:B146)</f>
        <v>18303</v>
      </c>
      <c r="C147" s="2">
        <f>SUM(C2:C146)*0.21</f>
        <v>95357.679374999992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2023-04</vt:lpstr>
      <vt:lpstr>2024-05</vt:lpstr>
      <vt:lpstr>2024-09</vt:lpstr>
      <vt:lpstr>2024-10</vt:lpstr>
      <vt:lpstr>2025-05</vt:lpstr>
      <vt:lpstr>2025-06</vt:lpstr>
      <vt:lpstr>2025-08</vt:lpstr>
      <vt:lpstr>2026-03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李儒</dc:creator>
  <cp:lastModifiedBy>李儒</cp:lastModifiedBy>
  <dcterms:created xsi:type="dcterms:W3CDTF">2023-04-16T07:46:09Z</dcterms:created>
  <dcterms:modified xsi:type="dcterms:W3CDTF">2026-05-03T12:50:10Z</dcterms:modified>
</cp:coreProperties>
</file>